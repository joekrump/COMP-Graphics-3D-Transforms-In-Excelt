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5200" windowHeight="11985" firstSheet="1" activeTab="1"/>
  </bookViews>
  <sheets>
    <sheet name="200810BFG" sheetId="2" state="hidden" r:id="rId1"/>
    <sheet name="Main" sheetId="1" r:id="rId2"/>
  </sheets>
  <calcPr calcId="145621"/>
</workbook>
</file>

<file path=xl/calcChain.xml><?xml version="1.0" encoding="utf-8"?>
<calcChain xmlns="http://schemas.openxmlformats.org/spreadsheetml/2006/main">
  <c r="F8" i="1" l="1"/>
  <c r="H195" i="1" l="1"/>
  <c r="D53" i="1" l="1"/>
  <c r="C53" i="1"/>
  <c r="B53" i="1"/>
  <c r="B47" i="1" l="1"/>
  <c r="K63" i="1" l="1"/>
  <c r="B72" i="1"/>
  <c r="L63" i="1" s="1"/>
  <c r="C73" i="1"/>
  <c r="K64" i="1" s="1"/>
  <c r="B73" i="1"/>
  <c r="L64" i="1" s="1"/>
  <c r="C74" i="1"/>
  <c r="K12" i="1" s="1"/>
  <c r="B74" i="1"/>
  <c r="L65" i="1" s="1"/>
  <c r="K66" i="1"/>
  <c r="B71" i="1"/>
  <c r="L66" i="1" s="1"/>
  <c r="C77" i="1"/>
  <c r="K68" i="1" s="1"/>
  <c r="B77" i="1"/>
  <c r="L68" i="1" s="1"/>
  <c r="C78" i="1"/>
  <c r="K69" i="1" s="1"/>
  <c r="B78" i="1"/>
  <c r="L69" i="1" s="1"/>
  <c r="C49" i="1"/>
  <c r="K70" i="1" s="1"/>
  <c r="B49" i="1"/>
  <c r="L70" i="1" s="1"/>
  <c r="C47" i="1"/>
  <c r="K72" i="1" s="1"/>
  <c r="L72" i="1"/>
  <c r="B48" i="1"/>
  <c r="L73" i="1" s="1"/>
  <c r="C50" i="1"/>
  <c r="K75" i="1" s="1"/>
  <c r="B50" i="1"/>
  <c r="L75" i="1" s="1"/>
  <c r="C51" i="1"/>
  <c r="K76" i="1" s="1"/>
  <c r="C52" i="1"/>
  <c r="K77" i="1" s="1"/>
  <c r="F12" i="1"/>
  <c r="C121" i="1" s="1"/>
  <c r="D8" i="1"/>
  <c r="D12" i="1" s="1"/>
  <c r="D74" i="1"/>
  <c r="K3" i="1"/>
  <c r="C76" i="1"/>
  <c r="K5" i="1" s="1"/>
  <c r="B76" i="1"/>
  <c r="L5" i="1" s="1"/>
  <c r="C67" i="1"/>
  <c r="K6" i="1" s="1"/>
  <c r="B67" i="1"/>
  <c r="L6" i="1" s="1"/>
  <c r="C66" i="1"/>
  <c r="K7" i="1" s="1"/>
  <c r="L7" i="1"/>
  <c r="K8" i="1"/>
  <c r="L8" i="1"/>
  <c r="K10" i="1"/>
  <c r="B70" i="1"/>
  <c r="L10" i="1" s="1"/>
  <c r="K11" i="1"/>
  <c r="C75" i="1"/>
  <c r="K13" i="1" s="1"/>
  <c r="B75" i="1"/>
  <c r="L13" i="1" s="1"/>
  <c r="C68" i="1"/>
  <c r="K14" i="1" s="1"/>
  <c r="B68" i="1"/>
  <c r="L14" i="1" s="1"/>
  <c r="C69" i="1"/>
  <c r="K15" i="1" s="1"/>
  <c r="B69" i="1"/>
  <c r="L15" i="1" s="1"/>
  <c r="K16" i="1"/>
  <c r="K18" i="1"/>
  <c r="L18" i="1"/>
  <c r="K19" i="1"/>
  <c r="B55" i="1"/>
  <c r="L46" i="1" s="1"/>
  <c r="C56" i="1"/>
  <c r="K20" i="1" s="1"/>
  <c r="B56" i="1"/>
  <c r="L20" i="1" s="1"/>
  <c r="C59" i="1"/>
  <c r="K21" i="1" s="1"/>
  <c r="L21" i="1"/>
  <c r="K22" i="1"/>
  <c r="L22" i="1"/>
  <c r="C63" i="1"/>
  <c r="K24" i="1" s="1"/>
  <c r="B63" i="1"/>
  <c r="L24" i="1" s="1"/>
  <c r="C64" i="1"/>
  <c r="K25" i="1" s="1"/>
  <c r="B64" i="1"/>
  <c r="L25" i="1" s="1"/>
  <c r="C65" i="1"/>
  <c r="K26" i="1" s="1"/>
  <c r="L26" i="1"/>
  <c r="C60" i="1"/>
  <c r="K27" i="1" s="1"/>
  <c r="L27" i="1"/>
  <c r="C62" i="1"/>
  <c r="K30" i="1" s="1"/>
  <c r="B62" i="1"/>
  <c r="L30" i="1" s="1"/>
  <c r="C61" i="1"/>
  <c r="K31" i="1" s="1"/>
  <c r="L31" i="1"/>
  <c r="C58" i="1"/>
  <c r="K32" i="1" s="1"/>
  <c r="L32" i="1"/>
  <c r="C57" i="1"/>
  <c r="K33" i="1" s="1"/>
  <c r="B57" i="1"/>
  <c r="L33" i="1" s="1"/>
  <c r="K36" i="1"/>
  <c r="L36" i="1"/>
  <c r="K37" i="1"/>
  <c r="L37" i="1"/>
  <c r="L38" i="1"/>
  <c r="L39" i="1"/>
  <c r="L40" i="1"/>
  <c r="L41" i="1"/>
  <c r="L42" i="1"/>
  <c r="L43" i="1"/>
  <c r="K44" i="1"/>
  <c r="L44" i="1"/>
  <c r="K46" i="1"/>
  <c r="K47" i="1"/>
  <c r="K54" i="1"/>
  <c r="K62" i="1"/>
  <c r="L2" i="1"/>
  <c r="K2" i="1"/>
  <c r="D78" i="1"/>
  <c r="D77" i="1"/>
  <c r="D75" i="1"/>
  <c r="D71" i="1"/>
  <c r="D70" i="1"/>
  <c r="D69" i="1"/>
  <c r="D68" i="1"/>
  <c r="D65" i="1"/>
  <c r="D64" i="1"/>
  <c r="D61" i="1"/>
  <c r="D63" i="1"/>
  <c r="D62" i="1"/>
  <c r="D60" i="1"/>
  <c r="D59" i="1"/>
  <c r="D58" i="1"/>
  <c r="D57" i="1"/>
  <c r="D56" i="1"/>
  <c r="D55" i="1"/>
  <c r="D54" i="1"/>
  <c r="D52" i="1"/>
  <c r="D51" i="1"/>
  <c r="D50" i="1"/>
  <c r="D49" i="1"/>
  <c r="D47" i="1"/>
  <c r="D48" i="1" s="1"/>
  <c r="K53" i="1" l="1"/>
  <c r="L50" i="1"/>
  <c r="L11" i="1"/>
  <c r="L62" i="1"/>
  <c r="D101" i="1"/>
  <c r="A121" i="1"/>
  <c r="K51" i="1"/>
  <c r="K56" i="1"/>
  <c r="K43" i="1"/>
  <c r="K59" i="1"/>
  <c r="K38" i="1"/>
  <c r="K4" i="1"/>
  <c r="K60" i="1"/>
  <c r="L58" i="1"/>
  <c r="K50" i="1"/>
  <c r="K40" i="1"/>
  <c r="L59" i="1"/>
  <c r="L48" i="1"/>
  <c r="K58" i="1"/>
  <c r="K48" i="1"/>
  <c r="K41" i="1"/>
  <c r="K28" i="1"/>
  <c r="K49" i="1"/>
  <c r="C48" i="1"/>
  <c r="K73" i="1" s="1"/>
  <c r="K57" i="1"/>
  <c r="K39" i="1"/>
  <c r="B51" i="1"/>
  <c r="L76" i="1" s="1"/>
  <c r="L57" i="1"/>
  <c r="L49" i="1"/>
  <c r="L47" i="1"/>
  <c r="L16" i="1"/>
  <c r="L28" i="1"/>
  <c r="L60" i="1"/>
  <c r="L56" i="1"/>
  <c r="B52" i="1"/>
  <c r="L77" i="1" s="1"/>
  <c r="K42" i="1"/>
  <c r="K34" i="1"/>
  <c r="K65" i="1"/>
  <c r="K52" i="1"/>
  <c r="L3" i="1"/>
  <c r="L52" i="1"/>
  <c r="L12" i="1"/>
  <c r="L4" i="1"/>
  <c r="L34" i="1"/>
  <c r="L51" i="1"/>
  <c r="L53" i="1"/>
  <c r="L19" i="1"/>
  <c r="E12" i="1"/>
  <c r="C101" i="1" s="1"/>
  <c r="L54" i="1"/>
  <c r="B101" i="1" l="1"/>
  <c r="B121" i="1"/>
  <c r="C102" i="1" l="1"/>
  <c r="D102" i="1"/>
  <c r="B102" i="1"/>
  <c r="G105" i="1" l="1"/>
  <c r="C105" i="1" s="1"/>
  <c r="F116" i="1"/>
  <c r="C113" i="1"/>
  <c r="G116" i="1"/>
  <c r="C114" i="1"/>
  <c r="C115" i="1"/>
  <c r="H116" i="1"/>
  <c r="D105" i="1" l="1"/>
  <c r="B105" i="1"/>
  <c r="B106" i="1" l="1"/>
  <c r="B113" i="1" s="1"/>
  <c r="C106" i="1"/>
  <c r="G115" i="1" s="1"/>
  <c r="D106" i="1"/>
  <c r="B115" i="1" s="1"/>
  <c r="F115" i="1" l="1"/>
  <c r="C108" i="1"/>
  <c r="A114" i="1" s="1"/>
  <c r="B108" i="1"/>
  <c r="F114" i="1" s="1"/>
  <c r="H115" i="1"/>
  <c r="D108" i="1"/>
  <c r="H114" i="1" s="1"/>
  <c r="B114" i="1"/>
  <c r="A113" i="1" l="1"/>
  <c r="A115" i="1"/>
  <c r="G114" i="1"/>
  <c r="F119" i="1" l="1" a="1"/>
  <c r="F120" i="1" s="1"/>
  <c r="A123" i="1" a="1"/>
  <c r="A125" i="1" s="1"/>
  <c r="D126" i="1" l="1"/>
  <c r="B124" i="1"/>
  <c r="G119" i="1"/>
  <c r="C125" i="1"/>
  <c r="C124" i="1"/>
  <c r="A124" i="1"/>
  <c r="D124" i="1"/>
  <c r="B123" i="1"/>
  <c r="I119" i="1"/>
  <c r="C123" i="1"/>
  <c r="A123" i="1"/>
  <c r="D123" i="1"/>
  <c r="B126" i="1"/>
  <c r="H121" i="1"/>
  <c r="C126" i="1"/>
  <c r="A126" i="1"/>
  <c r="D125" i="1"/>
  <c r="B125" i="1"/>
  <c r="F119" i="1"/>
  <c r="F121" i="1"/>
  <c r="I120" i="1"/>
  <c r="G120" i="1"/>
  <c r="H122" i="1"/>
  <c r="I121" i="1"/>
  <c r="H119" i="1"/>
  <c r="F122" i="1"/>
  <c r="G122" i="1"/>
  <c r="H120" i="1"/>
  <c r="G121" i="1"/>
  <c r="I122" i="1"/>
  <c r="B131" i="1" l="1" a="1"/>
  <c r="D157" i="1" s="1"/>
  <c r="D158" i="1" l="1"/>
  <c r="E161" i="1"/>
  <c r="C144" i="1"/>
  <c r="M118" i="1" s="1"/>
  <c r="D139" i="1"/>
  <c r="B158" i="1"/>
  <c r="L161" i="1" s="1"/>
  <c r="B155" i="1"/>
  <c r="B237" i="1" s="1"/>
  <c r="C150" i="1"/>
  <c r="M123" i="1" s="1"/>
  <c r="E150" i="1"/>
  <c r="D146" i="1"/>
  <c r="C158" i="1"/>
  <c r="M161" i="1" s="1"/>
  <c r="E162" i="1"/>
  <c r="C160" i="1"/>
  <c r="M153" i="1" s="1"/>
  <c r="B161" i="1"/>
  <c r="L154" i="1" s="1"/>
  <c r="D151" i="1"/>
  <c r="C134" i="1"/>
  <c r="M167" i="1" s="1"/>
  <c r="D132" i="1"/>
  <c r="C131" i="1"/>
  <c r="M134" i="1" s="1"/>
  <c r="C161" i="1"/>
  <c r="M154" i="1" s="1"/>
  <c r="E157" i="1"/>
  <c r="B140" i="1"/>
  <c r="L151" i="1" s="1"/>
  <c r="E138" i="1"/>
  <c r="B149" i="1"/>
  <c r="B239" i="1" s="1"/>
  <c r="E151" i="1"/>
  <c r="E148" i="1"/>
  <c r="B136" i="1"/>
  <c r="L173" i="1" s="1"/>
  <c r="E158" i="1"/>
  <c r="D162" i="1"/>
  <c r="B144" i="1"/>
  <c r="L118" i="1" s="1"/>
  <c r="C137" i="1"/>
  <c r="M174" i="1" s="1"/>
  <c r="B133" i="1"/>
  <c r="L170" i="1" s="1"/>
  <c r="C148" i="1"/>
  <c r="C240" i="1" s="1"/>
  <c r="D155" i="1"/>
  <c r="D237" i="1" s="1"/>
  <c r="C154" i="1"/>
  <c r="C238" i="1" s="1"/>
  <c r="H242" i="1" s="1"/>
  <c r="D148" i="1"/>
  <c r="D240" i="1" s="1"/>
  <c r="C149" i="1"/>
  <c r="C239" i="1" s="1"/>
  <c r="D145" i="1"/>
  <c r="E149" i="1"/>
  <c r="D142" i="1"/>
  <c r="D242" i="1" s="1"/>
  <c r="C152" i="1"/>
  <c r="M155" i="1" s="1"/>
  <c r="E153" i="1"/>
  <c r="D150" i="1"/>
  <c r="B148" i="1"/>
  <c r="B240" i="1" s="1"/>
  <c r="B145" i="1"/>
  <c r="L137" i="1" s="1"/>
  <c r="D135" i="1"/>
  <c r="E135" i="1"/>
  <c r="B142" i="1"/>
  <c r="B242" i="1" s="1"/>
  <c r="E132" i="1"/>
  <c r="B139" i="1"/>
  <c r="L115" i="1" s="1"/>
  <c r="D161" i="1"/>
  <c r="E139" i="1"/>
  <c r="E155" i="1"/>
  <c r="C138" i="1"/>
  <c r="C162" i="1"/>
  <c r="M165" i="1" s="1"/>
  <c r="B146" i="1"/>
  <c r="L128" i="1" s="1"/>
  <c r="B162" i="1"/>
  <c r="L165" i="1" s="1"/>
  <c r="D136" i="1"/>
  <c r="D152" i="1"/>
  <c r="E136" i="1"/>
  <c r="E152" i="1"/>
  <c r="C135" i="1"/>
  <c r="M172" i="1" s="1"/>
  <c r="C156" i="1"/>
  <c r="M163" i="1" s="1"/>
  <c r="B143" i="1"/>
  <c r="L139" i="1" s="1"/>
  <c r="B159" i="1"/>
  <c r="L162" i="1" s="1"/>
  <c r="D133" i="1"/>
  <c r="D149" i="1"/>
  <c r="D239" i="1" s="1"/>
  <c r="E131" i="1"/>
  <c r="E133" i="1"/>
  <c r="C132" i="1"/>
  <c r="M169" i="1" s="1"/>
  <c r="B152" i="1"/>
  <c r="L103" i="1" s="1"/>
  <c r="E134" i="1"/>
  <c r="C133" i="1"/>
  <c r="M170" i="1" s="1"/>
  <c r="B156" i="1"/>
  <c r="L108" i="1" s="1"/>
  <c r="E137" i="1"/>
  <c r="C136" i="1"/>
  <c r="M173" i="1" s="1"/>
  <c r="B160" i="1"/>
  <c r="L110" i="1" s="1"/>
  <c r="E146" i="1"/>
  <c r="C146" i="1"/>
  <c r="M128" i="1" s="1"/>
  <c r="D138" i="1"/>
  <c r="B137" i="1"/>
  <c r="L174" i="1" s="1"/>
  <c r="B153" i="1"/>
  <c r="L156" i="1" s="1"/>
  <c r="C157" i="1"/>
  <c r="M160" i="1" s="1"/>
  <c r="D143" i="1"/>
  <c r="D159" i="1"/>
  <c r="E143" i="1"/>
  <c r="E159" i="1"/>
  <c r="C142" i="1"/>
  <c r="C242" i="1" s="1"/>
  <c r="B134" i="1"/>
  <c r="L167" i="1" s="1"/>
  <c r="B150" i="1"/>
  <c r="L136" i="1" s="1"/>
  <c r="C151" i="1"/>
  <c r="M104" i="1" s="1"/>
  <c r="D140" i="1"/>
  <c r="D236" i="1" s="1"/>
  <c r="D156" i="1"/>
  <c r="E140" i="1"/>
  <c r="E156" i="1"/>
  <c r="C139" i="1"/>
  <c r="M141" i="1" s="1"/>
  <c r="B131" i="1"/>
  <c r="L99" i="1" s="1"/>
  <c r="B147" i="1"/>
  <c r="B241" i="1" s="1"/>
  <c r="B163" i="1"/>
  <c r="L166" i="1" s="1"/>
  <c r="D137" i="1"/>
  <c r="D153" i="1"/>
  <c r="E141" i="1"/>
  <c r="C140" i="1"/>
  <c r="C236" i="1" s="1"/>
  <c r="C155" i="1"/>
  <c r="C237" i="1" s="1"/>
  <c r="E142" i="1"/>
  <c r="C141" i="1"/>
  <c r="C243" i="1" s="1"/>
  <c r="C163" i="1"/>
  <c r="M166" i="1" s="1"/>
  <c r="E145" i="1"/>
  <c r="C145" i="1"/>
  <c r="M137" i="1" s="1"/>
  <c r="D134" i="1"/>
  <c r="E154" i="1"/>
  <c r="B132" i="1"/>
  <c r="L169" i="1" s="1"/>
  <c r="D154" i="1"/>
  <c r="D238" i="1" s="1"/>
  <c r="B141" i="1"/>
  <c r="B243" i="1" s="1"/>
  <c r="B157" i="1"/>
  <c r="L160" i="1" s="1"/>
  <c r="D131" i="1"/>
  <c r="D147" i="1"/>
  <c r="D241" i="1" s="1"/>
  <c r="D163" i="1"/>
  <c r="E147" i="1"/>
  <c r="E163" i="1"/>
  <c r="C147" i="1"/>
  <c r="C241" i="1" s="1"/>
  <c r="B138" i="1"/>
  <c r="B154" i="1"/>
  <c r="B238" i="1" s="1"/>
  <c r="G242" i="1" s="1"/>
  <c r="C159" i="1"/>
  <c r="M162" i="1" s="1"/>
  <c r="D144" i="1"/>
  <c r="D160" i="1"/>
  <c r="E144" i="1"/>
  <c r="E160" i="1"/>
  <c r="C143" i="1"/>
  <c r="M139" i="1" s="1"/>
  <c r="B135" i="1"/>
  <c r="L172" i="1" s="1"/>
  <c r="B151" i="1"/>
  <c r="L135" i="1" s="1"/>
  <c r="C153" i="1"/>
  <c r="M156" i="1" s="1"/>
  <c r="D141" i="1"/>
  <c r="D243" i="1" s="1"/>
  <c r="M99" i="1" l="1"/>
  <c r="M105" i="1"/>
  <c r="L101" i="1"/>
  <c r="M100" i="1"/>
  <c r="I239" i="1"/>
  <c r="L100" i="1"/>
  <c r="L112" i="1"/>
  <c r="M135" i="1"/>
  <c r="M102" i="1"/>
  <c r="L121" i="1"/>
  <c r="L122" i="1"/>
  <c r="L129" i="1"/>
  <c r="L144" i="1"/>
  <c r="M130" i="1"/>
  <c r="L130" i="1"/>
  <c r="M108" i="1"/>
  <c r="M138" i="1"/>
  <c r="L102" i="1"/>
  <c r="M151" i="1"/>
  <c r="L155" i="1"/>
  <c r="L141" i="1"/>
  <c r="L143" i="1"/>
  <c r="B244" i="1"/>
  <c r="L149" i="1"/>
  <c r="L146" i="1"/>
  <c r="L113" i="1"/>
  <c r="M133" i="1"/>
  <c r="L107" i="1"/>
  <c r="I240" i="1"/>
  <c r="M159" i="1"/>
  <c r="M145" i="1"/>
  <c r="M143" i="1"/>
  <c r="C244" i="1"/>
  <c r="M157" i="1"/>
  <c r="L133" i="1"/>
  <c r="L116" i="1"/>
  <c r="L140" i="1"/>
  <c r="B236" i="1"/>
  <c r="L119" i="1"/>
  <c r="L123" i="1"/>
  <c r="M110" i="1"/>
  <c r="L127" i="1"/>
  <c r="G240" i="1"/>
  <c r="M109" i="1"/>
  <c r="M111" i="1"/>
  <c r="M119" i="1"/>
  <c r="M101" i="1"/>
  <c r="M113" i="1"/>
  <c r="M115" i="1"/>
  <c r="M107" i="1"/>
  <c r="L147" i="1"/>
  <c r="G239" i="1"/>
  <c r="M149" i="1"/>
  <c r="M112" i="1"/>
  <c r="L104" i="1"/>
  <c r="L138" i="1"/>
  <c r="M144" i="1"/>
  <c r="L125" i="1"/>
  <c r="D244" i="1"/>
  <c r="H240" i="1"/>
  <c r="M116" i="1"/>
  <c r="L145" i="1"/>
  <c r="M140" i="1"/>
  <c r="L105" i="1"/>
  <c r="M122" i="1"/>
  <c r="M121" i="1"/>
  <c r="H239" i="1"/>
  <c r="L124" i="1"/>
  <c r="M136" i="1"/>
  <c r="M146" i="1"/>
  <c r="L153" i="1"/>
  <c r="M125" i="1"/>
  <c r="M103" i="1"/>
  <c r="M147" i="1"/>
  <c r="L134" i="1"/>
  <c r="M129" i="1"/>
  <c r="M127" i="1"/>
  <c r="M148" i="1"/>
  <c r="L109" i="1"/>
  <c r="B199" i="1" a="1"/>
  <c r="C199" i="1" s="1"/>
  <c r="M124" i="1"/>
  <c r="M131" i="1"/>
  <c r="L117" i="1"/>
  <c r="L157" i="1"/>
  <c r="L163" i="1"/>
  <c r="L111" i="1"/>
  <c r="I242" i="1"/>
  <c r="L148" i="1"/>
  <c r="L159" i="1"/>
  <c r="M150" i="1"/>
  <c r="L150" i="1"/>
  <c r="L131" i="1"/>
  <c r="M117" i="1"/>
  <c r="H241" i="1" l="1"/>
  <c r="G241" i="1"/>
  <c r="I241" i="1"/>
  <c r="D208" i="1"/>
  <c r="C207" i="1"/>
  <c r="C205" i="1"/>
  <c r="C201" i="1"/>
  <c r="E199" i="1"/>
  <c r="I199" i="1" s="1"/>
  <c r="E229" i="1"/>
  <c r="I229" i="1" s="1"/>
  <c r="D225" i="1"/>
  <c r="B204" i="1"/>
  <c r="C219" i="1"/>
  <c r="D218" i="1"/>
  <c r="E217" i="1"/>
  <c r="I217" i="1" s="1"/>
  <c r="D204" i="1"/>
  <c r="D205" i="1"/>
  <c r="C224" i="1"/>
  <c r="B218" i="1"/>
  <c r="B231" i="1"/>
  <c r="D201" i="1"/>
  <c r="E228" i="1"/>
  <c r="I228" i="1" s="1"/>
  <c r="D206" i="1"/>
  <c r="E205" i="1"/>
  <c r="I205" i="1" s="1"/>
  <c r="C206" i="1"/>
  <c r="C208" i="1"/>
  <c r="E206" i="1"/>
  <c r="I206" i="1" s="1"/>
  <c r="C209" i="1"/>
  <c r="E207" i="1"/>
  <c r="I207" i="1" s="1"/>
  <c r="C202" i="1"/>
  <c r="E200" i="1"/>
  <c r="I200" i="1" s="1"/>
  <c r="B229" i="1"/>
  <c r="C223" i="1"/>
  <c r="D222" i="1"/>
  <c r="B200" i="1"/>
  <c r="E203" i="1"/>
  <c r="I203" i="1" s="1"/>
  <c r="E204" i="1"/>
  <c r="I204" i="1" s="1"/>
  <c r="D207" i="1"/>
  <c r="B227" i="1"/>
  <c r="D200" i="1"/>
  <c r="E222" i="1"/>
  <c r="I222" i="1" s="1"/>
  <c r="C226" i="1"/>
  <c r="B222" i="1"/>
  <c r="C203" i="1"/>
  <c r="D202" i="1"/>
  <c r="E201" i="1"/>
  <c r="I201" i="1" s="1"/>
  <c r="B212" i="1"/>
  <c r="B216" i="1"/>
  <c r="B219" i="1"/>
  <c r="D223" i="1"/>
  <c r="B205" i="1"/>
  <c r="B214" i="1"/>
  <c r="B223" i="1"/>
  <c r="B201" i="1"/>
  <c r="C213" i="1"/>
  <c r="D212" i="1"/>
  <c r="E211" i="1"/>
  <c r="I211" i="1" s="1"/>
  <c r="B215" i="1"/>
  <c r="C214" i="1"/>
  <c r="D213" i="1"/>
  <c r="E212" i="1"/>
  <c r="I212" i="1" s="1"/>
  <c r="E223" i="1"/>
  <c r="I223" i="1" s="1"/>
  <c r="C212" i="1"/>
  <c r="C228" i="1"/>
  <c r="D211" i="1"/>
  <c r="D227" i="1"/>
  <c r="E210" i="1"/>
  <c r="I210" i="1" s="1"/>
  <c r="B226" i="1"/>
  <c r="B211" i="1"/>
  <c r="E219" i="1"/>
  <c r="I219" i="1" s="1"/>
  <c r="C217" i="1"/>
  <c r="D216" i="1"/>
  <c r="E215" i="1"/>
  <c r="I215" i="1" s="1"/>
  <c r="E230" i="1"/>
  <c r="I230" i="1" s="1"/>
  <c r="C210" i="1"/>
  <c r="D209" i="1"/>
  <c r="E208" i="1"/>
  <c r="I208" i="1" s="1"/>
  <c r="B199" i="1"/>
  <c r="B213" i="1"/>
  <c r="C211" i="1"/>
  <c r="C227" i="1"/>
  <c r="D210" i="1"/>
  <c r="D226" i="1"/>
  <c r="E209" i="1"/>
  <c r="I209" i="1" s="1"/>
  <c r="B224" i="1"/>
  <c r="B203" i="1"/>
  <c r="B217" i="1"/>
  <c r="C221" i="1"/>
  <c r="D220" i="1"/>
  <c r="B206" i="1"/>
  <c r="B225" i="1"/>
  <c r="C222" i="1"/>
  <c r="D221" i="1"/>
  <c r="B210" i="1"/>
  <c r="C200" i="1"/>
  <c r="C216" i="1"/>
  <c r="D199" i="1"/>
  <c r="D215" i="1"/>
  <c r="D231" i="1"/>
  <c r="E214" i="1"/>
  <c r="I214" i="1" s="1"/>
  <c r="E218" i="1"/>
  <c r="I218" i="1" s="1"/>
  <c r="E226" i="1"/>
  <c r="I226" i="1" s="1"/>
  <c r="E227" i="1"/>
  <c r="I227" i="1" s="1"/>
  <c r="C225" i="1"/>
  <c r="D224" i="1"/>
  <c r="B220" i="1"/>
  <c r="B209" i="1"/>
  <c r="C218" i="1"/>
  <c r="D217" i="1"/>
  <c r="E216" i="1"/>
  <c r="I216" i="1" s="1"/>
  <c r="E220" i="1"/>
  <c r="I220" i="1" s="1"/>
  <c r="E231" i="1"/>
  <c r="I231" i="1" s="1"/>
  <c r="C215" i="1"/>
  <c r="C231" i="1"/>
  <c r="D214" i="1"/>
  <c r="D230" i="1"/>
  <c r="E213" i="1"/>
  <c r="I213" i="1" s="1"/>
  <c r="B207" i="1"/>
  <c r="E224" i="1"/>
  <c r="I224" i="1" s="1"/>
  <c r="E225" i="1"/>
  <c r="I225" i="1" s="1"/>
  <c r="C229" i="1"/>
  <c r="D228" i="1"/>
  <c r="B228" i="1"/>
  <c r="E221" i="1"/>
  <c r="I221" i="1" s="1"/>
  <c r="C230" i="1"/>
  <c r="D229" i="1"/>
  <c r="B230" i="1"/>
  <c r="C204" i="1"/>
  <c r="C220" i="1"/>
  <c r="D203" i="1"/>
  <c r="D219" i="1"/>
  <c r="E202" i="1"/>
  <c r="I202" i="1" s="1"/>
  <c r="B202" i="1"/>
  <c r="B208" i="1"/>
  <c r="B221" i="1"/>
  <c r="G210" i="1" l="1"/>
  <c r="M243" i="1" s="1"/>
  <c r="G229" i="1"/>
  <c r="M196" i="1" s="1"/>
  <c r="G221" i="1"/>
  <c r="M205" i="1" s="1"/>
  <c r="H211" i="1"/>
  <c r="G215" i="1"/>
  <c r="M242" i="1" s="1"/>
  <c r="G203" i="1"/>
  <c r="M266" i="1" s="1"/>
  <c r="F211" i="1"/>
  <c r="L233" i="1" s="1"/>
  <c r="H228" i="1"/>
  <c r="G244" i="1"/>
  <c r="F30" i="1" s="1"/>
  <c r="G204" i="1"/>
  <c r="M267" i="1" s="1"/>
  <c r="G222" i="1"/>
  <c r="M206" i="1" s="1"/>
  <c r="F206" i="1"/>
  <c r="H203" i="1"/>
  <c r="F203" i="1"/>
  <c r="L266" i="1" s="1"/>
  <c r="F210" i="1"/>
  <c r="L224" i="1" s="1"/>
  <c r="H210" i="1"/>
  <c r="F205" i="1"/>
  <c r="L268" i="1" s="1"/>
  <c r="H205" i="1"/>
  <c r="H202" i="1"/>
  <c r="G217" i="1"/>
  <c r="M240" i="1" s="1"/>
  <c r="G207" i="1"/>
  <c r="M213" i="1" s="1"/>
  <c r="F225" i="1"/>
  <c r="L194" i="1" s="1"/>
  <c r="G214" i="1"/>
  <c r="M222" i="1" s="1"/>
  <c r="F207" i="1"/>
  <c r="L213" i="1" s="1"/>
  <c r="F199" i="1"/>
  <c r="L193" i="1" s="1"/>
  <c r="G199" i="1"/>
  <c r="M199" i="1" s="1"/>
  <c r="G209" i="1"/>
  <c r="M244" i="1" s="1"/>
  <c r="H221" i="1"/>
  <c r="F202" i="1"/>
  <c r="L261" i="1" s="1"/>
  <c r="G220" i="1"/>
  <c r="M197" i="1" s="1"/>
  <c r="H224" i="1"/>
  <c r="H199" i="1"/>
  <c r="H220" i="1"/>
  <c r="F224" i="1"/>
  <c r="L253" i="1" s="1"/>
  <c r="G227" i="1"/>
  <c r="M203" i="1" s="1"/>
  <c r="H207" i="1"/>
  <c r="H222" i="1"/>
  <c r="G205" i="1"/>
  <c r="M268" i="1" s="1"/>
  <c r="H231" i="1"/>
  <c r="H214" i="1"/>
  <c r="G231" i="1"/>
  <c r="M260" i="1" s="1"/>
  <c r="H227" i="1"/>
  <c r="F201" i="1"/>
  <c r="L264" i="1" s="1"/>
  <c r="F222" i="1"/>
  <c r="L206" i="1" s="1"/>
  <c r="F227" i="1"/>
  <c r="L203" i="1" s="1"/>
  <c r="F200" i="1"/>
  <c r="L263" i="1" s="1"/>
  <c r="H206" i="1"/>
  <c r="G224" i="1"/>
  <c r="M253" i="1" s="1"/>
  <c r="G216" i="1"/>
  <c r="M215" i="1" s="1"/>
  <c r="F230" i="1"/>
  <c r="L259" i="1" s="1"/>
  <c r="H200" i="1"/>
  <c r="G230" i="1"/>
  <c r="M259" i="1" s="1"/>
  <c r="F223" i="1"/>
  <c r="L238" i="1" s="1"/>
  <c r="G226" i="1"/>
  <c r="M255" i="1" s="1"/>
  <c r="H223" i="1"/>
  <c r="H230" i="1"/>
  <c r="F219" i="1"/>
  <c r="L198" i="1" s="1"/>
  <c r="G200" i="1"/>
  <c r="M263" i="1" s="1"/>
  <c r="H217" i="1"/>
  <c r="F217" i="1"/>
  <c r="L240" i="1" s="1"/>
  <c r="H218" i="1"/>
  <c r="H219" i="1"/>
  <c r="F228" i="1"/>
  <c r="L204" i="1" s="1"/>
  <c r="G228" i="1"/>
  <c r="M251" i="1" s="1"/>
  <c r="G211" i="1"/>
  <c r="M223" i="1" s="1"/>
  <c r="G219" i="1"/>
  <c r="M198" i="1" s="1"/>
  <c r="F229" i="1"/>
  <c r="L196" i="1" s="1"/>
  <c r="H208" i="1"/>
  <c r="H229" i="1"/>
  <c r="F216" i="1"/>
  <c r="L215" i="1" s="1"/>
  <c r="F226" i="1"/>
  <c r="L255" i="1" s="1"/>
  <c r="H216" i="1"/>
  <c r="H213" i="1"/>
  <c r="H212" i="1"/>
  <c r="F214" i="1"/>
  <c r="L232" i="1" s="1"/>
  <c r="G206" i="1"/>
  <c r="H201" i="1"/>
  <c r="H226" i="1"/>
  <c r="H204" i="1"/>
  <c r="F204" i="1"/>
  <c r="L267" i="1" s="1"/>
  <c r="G201" i="1"/>
  <c r="M264" i="1" s="1"/>
  <c r="G212" i="1"/>
  <c r="M212" i="1" s="1"/>
  <c r="G213" i="1"/>
  <c r="M218" i="1" s="1"/>
  <c r="F213" i="1"/>
  <c r="G225" i="1"/>
  <c r="H209" i="1"/>
  <c r="F221" i="1"/>
  <c r="L205" i="1" s="1"/>
  <c r="H215" i="1"/>
  <c r="F212" i="1"/>
  <c r="L234" i="1" s="1"/>
  <c r="F215" i="1"/>
  <c r="L225" i="1" s="1"/>
  <c r="G202" i="1"/>
  <c r="M261" i="1" s="1"/>
  <c r="H225" i="1"/>
  <c r="F209" i="1"/>
  <c r="L211" i="1" s="1"/>
  <c r="G208" i="1"/>
  <c r="M210" i="1" s="1"/>
  <c r="G218" i="1"/>
  <c r="M230" i="1" s="1"/>
  <c r="F208" i="1"/>
  <c r="L210" i="1" s="1"/>
  <c r="F231" i="1"/>
  <c r="L260" i="1" s="1"/>
  <c r="F218" i="1"/>
  <c r="L230" i="1" s="1"/>
  <c r="F220" i="1"/>
  <c r="G223" i="1"/>
  <c r="M224" i="1" l="1"/>
  <c r="M250" i="1"/>
  <c r="M225" i="1"/>
  <c r="M248" i="1"/>
  <c r="L223" i="1"/>
  <c r="M227" i="1"/>
  <c r="L229" i="1"/>
  <c r="L256" i="1"/>
  <c r="M221" i="1"/>
  <c r="L254" i="1"/>
  <c r="L228" i="1"/>
  <c r="M239" i="1"/>
  <c r="M217" i="1"/>
  <c r="M209" i="1"/>
  <c r="L199" i="1"/>
  <c r="M235" i="1"/>
  <c r="M233" i="1"/>
  <c r="M241" i="1"/>
  <c r="L235" i="1"/>
  <c r="M216" i="1"/>
  <c r="L243" i="1"/>
  <c r="M249" i="1"/>
  <c r="M193" i="1"/>
  <c r="L257" i="1"/>
  <c r="M228" i="1"/>
  <c r="L202" i="1"/>
  <c r="L241" i="1"/>
  <c r="L239" i="1"/>
  <c r="L209" i="1"/>
  <c r="M211" i="1"/>
  <c r="L227" i="1"/>
  <c r="L247" i="1"/>
  <c r="M232" i="1"/>
  <c r="M256" i="1"/>
  <c r="M234" i="1"/>
  <c r="M219" i="1"/>
  <c r="L201" i="1"/>
  <c r="M195" i="1"/>
  <c r="M231" i="1"/>
  <c r="L207" i="1"/>
  <c r="L245" i="1"/>
  <c r="L216" i="1"/>
  <c r="L195" i="1"/>
  <c r="L248" i="1"/>
  <c r="M202" i="1"/>
  <c r="M247" i="1"/>
  <c r="M257" i="1"/>
  <c r="L237" i="1"/>
  <c r="M204" i="1"/>
  <c r="L222" i="1"/>
  <c r="M245" i="1"/>
  <c r="M229" i="1"/>
  <c r="L251" i="1"/>
  <c r="L219" i="1"/>
  <c r="L212" i="1"/>
  <c r="M237" i="1"/>
  <c r="L250" i="1"/>
  <c r="L221" i="1"/>
  <c r="L242" i="1"/>
  <c r="M207" i="1"/>
  <c r="M238" i="1"/>
  <c r="M201" i="1"/>
  <c r="L231" i="1"/>
  <c r="L218" i="1"/>
  <c r="L244" i="1"/>
  <c r="L217" i="1"/>
  <c r="L197" i="1"/>
  <c r="L249" i="1"/>
  <c r="M254" i="1"/>
  <c r="M194" i="1"/>
</calcChain>
</file>

<file path=xl/sharedStrings.xml><?xml version="1.0" encoding="utf-8"?>
<sst xmlns="http://schemas.openxmlformats.org/spreadsheetml/2006/main" count="537" uniqueCount="87">
  <si>
    <t>x</t>
  </si>
  <si>
    <t>y</t>
  </si>
  <si>
    <t>z</t>
  </si>
  <si>
    <t>a</t>
  </si>
  <si>
    <t>h</t>
  </si>
  <si>
    <t>e</t>
  </si>
  <si>
    <t>b</t>
  </si>
  <si>
    <t>c</t>
  </si>
  <si>
    <t>d</t>
  </si>
  <si>
    <t>f</t>
  </si>
  <si>
    <t>g</t>
  </si>
  <si>
    <t>I</t>
  </si>
  <si>
    <t>j</t>
  </si>
  <si>
    <t>k</t>
  </si>
  <si>
    <t>l</t>
  </si>
  <si>
    <t>m</t>
  </si>
  <si>
    <t>r</t>
  </si>
  <si>
    <t>q</t>
  </si>
  <si>
    <r>
      <t>VRP in cylindrical (r,</t>
    </r>
    <r>
      <rPr>
        <sz val="10"/>
        <rFont val="Symbol"/>
        <family val="1"/>
        <charset val="2"/>
      </rPr>
      <t>q,</t>
    </r>
    <r>
      <rPr>
        <sz val="10"/>
        <rFont val="Arial"/>
        <family val="2"/>
      </rPr>
      <t>z) coordinates:</t>
    </r>
  </si>
  <si>
    <t>VRP in rectangular (x,y,z) coordinates</t>
  </si>
  <si>
    <t>Location of the VRP</t>
  </si>
  <si>
    <t>n</t>
  </si>
  <si>
    <t>o</t>
  </si>
  <si>
    <t>p</t>
  </si>
  <si>
    <t>s</t>
  </si>
  <si>
    <t>t</t>
  </si>
  <si>
    <t>u</t>
  </si>
  <si>
    <t>v</t>
  </si>
  <si>
    <t>w</t>
  </si>
  <si>
    <t>i</t>
  </si>
  <si>
    <t>aa</t>
  </si>
  <si>
    <t>ab</t>
  </si>
  <si>
    <t>ac</t>
  </si>
  <si>
    <t>Coordinates to Generate Aerial View</t>
  </si>
  <si>
    <t>ad</t>
  </si>
  <si>
    <t>Test Shape specified in (x, y, z) coordinates</t>
  </si>
  <si>
    <t>Fill Your Name In Here (Cell A1)!</t>
  </si>
  <si>
    <t>ae</t>
  </si>
  <si>
    <t>af</t>
  </si>
  <si>
    <t>ag</t>
  </si>
  <si>
    <t>Asgn52005BStudenttemplate.xls</t>
  </si>
  <si>
    <t>Asgn6200810Studenttemplate.xlsm</t>
  </si>
  <si>
    <t>Asgn6200810Studenttemplate03.xls</t>
  </si>
  <si>
    <t>Asgn6200810Studenttemplate08.xlsm</t>
  </si>
  <si>
    <t>Joseph Krump (A00750171)</t>
  </si>
  <si>
    <t>Asgn6201330Studenttemplate.xlsm</t>
  </si>
  <si>
    <t>Joseph Krump 4C</t>
  </si>
  <si>
    <t>Krump.Joseph.4C.xlsm</t>
  </si>
  <si>
    <t>Step 2</t>
  </si>
  <si>
    <t>Step 3:</t>
  </si>
  <si>
    <t>unit vector n</t>
  </si>
  <si>
    <t>Step 4:</t>
  </si>
  <si>
    <t>up</t>
  </si>
  <si>
    <t>vp</t>
  </si>
  <si>
    <t>up • n</t>
  </si>
  <si>
    <t>Step 5:</t>
  </si>
  <si>
    <t>Step 6:</t>
  </si>
  <si>
    <t>Step 7:</t>
  </si>
  <si>
    <t>Step 8:</t>
  </si>
  <si>
    <t>Coordinates to generate side surface facing view</t>
  </si>
  <si>
    <t>Test shape coordinates in (u,v,n) system</t>
  </si>
  <si>
    <t>Identity matrix to varify M^T is correct</t>
  </si>
  <si>
    <t>M matrix</t>
  </si>
  <si>
    <t>M^T matrix</t>
  </si>
  <si>
    <t>T-r matrix</t>
  </si>
  <si>
    <t>Awv matrix</t>
  </si>
  <si>
    <t>Largest Numbers in A00750171</t>
  </si>
  <si>
    <t>normal vector</t>
  </si>
  <si>
    <t>unit vector v</t>
  </si>
  <si>
    <t>unit vector u</t>
  </si>
  <si>
    <t>Step 9:</t>
  </si>
  <si>
    <t>Observer's Eye</t>
  </si>
  <si>
    <t>Perspective Transform Matrix</t>
  </si>
  <si>
    <t>u*</t>
  </si>
  <si>
    <t>v*</t>
  </si>
  <si>
    <t>n*</t>
  </si>
  <si>
    <t>u*h</t>
  </si>
  <si>
    <t>v*h</t>
  </si>
  <si>
    <t>n*h</t>
  </si>
  <si>
    <t>Step 10:</t>
  </si>
  <si>
    <t>3 adjacent points being used: k, l, j</t>
  </si>
  <si>
    <t>v2 = l - k</t>
  </si>
  <si>
    <t>v1 = q - l</t>
  </si>
  <si>
    <t>v1</t>
  </si>
  <si>
    <t>v2</t>
  </si>
  <si>
    <t>LofS</t>
  </si>
  <si>
    <t>n • LofS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</si>
</sst>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4"/>
      <color indexed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rgb="FF92D050"/>
      <name val="Arial"/>
      <family val="2"/>
    </font>
    <font>
      <sz val="10"/>
      <color rgb="FF92D050"/>
      <name val="Arial"/>
      <family val="2"/>
    </font>
    <font>
      <b/>
      <sz val="12"/>
      <color rgb="FF92D050"/>
      <name val="Arial"/>
      <family val="2"/>
    </font>
    <font>
      <sz val="10"/>
      <color indexed="9"/>
      <name val="Arial"/>
      <family val="2"/>
    </font>
    <font>
      <sz val="11"/>
      <color rgb="FF9C0006"/>
      <name val="Calibri"/>
      <family val="2"/>
      <scheme val="minor"/>
    </font>
    <font>
      <sz val="10"/>
      <color indexed="9"/>
      <name val="Arial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7" fillId="4" borderId="0" applyNumberFormat="0" applyBorder="0" applyAlignment="0" applyProtection="0"/>
  </cellStyleXfs>
  <cellXfs count="84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1" xfId="0" applyFont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4" fillId="0" borderId="1" xfId="0" applyFont="1" applyBorder="1"/>
    <xf numFmtId="0" fontId="4" fillId="0" borderId="10" xfId="0" applyFont="1" applyBorder="1" applyAlignment="1">
      <alignment horizontal="right"/>
    </xf>
    <xf numFmtId="0" fontId="6" fillId="0" borderId="5" xfId="0" applyFont="1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7" fillId="0" borderId="9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center"/>
    </xf>
    <xf numFmtId="0" fontId="1" fillId="2" borderId="0" xfId="0" applyFont="1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22" fontId="9" fillId="0" borderId="0" xfId="0" applyNumberFormat="1" applyFont="1"/>
    <xf numFmtId="0" fontId="9" fillId="0" borderId="0" xfId="0" applyFont="1"/>
    <xf numFmtId="0" fontId="10" fillId="0" borderId="0" xfId="0" applyFont="1"/>
    <xf numFmtId="0" fontId="11" fillId="0" borderId="2" xfId="0" applyFont="1" applyFill="1" applyBorder="1" applyAlignment="1">
      <alignment horizontal="center"/>
    </xf>
    <xf numFmtId="0" fontId="4" fillId="0" borderId="0" xfId="0" applyFont="1"/>
    <xf numFmtId="0" fontId="0" fillId="0" borderId="14" xfId="0" applyFill="1" applyBorder="1"/>
    <xf numFmtId="0" fontId="0" fillId="0" borderId="16" xfId="0" applyFill="1" applyBorder="1"/>
    <xf numFmtId="0" fontId="0" fillId="0" borderId="17" xfId="0" applyBorder="1"/>
    <xf numFmtId="0" fontId="0" fillId="0" borderId="18" xfId="0" applyBorder="1"/>
    <xf numFmtId="22" fontId="12" fillId="0" borderId="0" xfId="0" applyNumberFormat="1" applyFont="1"/>
    <xf numFmtId="0" fontId="12" fillId="0" borderId="0" xfId="0" applyFont="1"/>
    <xf numFmtId="0" fontId="4" fillId="0" borderId="0" xfId="0" applyFont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1" fillId="0" borderId="0" xfId="0" applyFont="1" applyAlignment="1">
      <alignment horizontal="right"/>
    </xf>
    <xf numFmtId="0" fontId="4" fillId="0" borderId="0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3" borderId="0" xfId="0" applyFill="1"/>
    <xf numFmtId="0" fontId="13" fillId="3" borderId="0" xfId="0" applyFont="1" applyFill="1"/>
    <xf numFmtId="0" fontId="14" fillId="3" borderId="0" xfId="0" applyFont="1" applyFill="1"/>
    <xf numFmtId="0" fontId="15" fillId="3" borderId="0" xfId="0" applyFont="1" applyFill="1"/>
    <xf numFmtId="22" fontId="16" fillId="0" borderId="0" xfId="0" applyNumberFormat="1" applyFont="1"/>
    <xf numFmtId="0" fontId="16" fillId="0" borderId="0" xfId="0" applyFont="1"/>
    <xf numFmtId="0" fontId="1" fillId="2" borderId="0" xfId="0" applyFont="1" applyFill="1" applyBorder="1" applyAlignment="1">
      <alignment horizontal="center"/>
    </xf>
    <xf numFmtId="0" fontId="1" fillId="0" borderId="20" xfId="0" applyFont="1" applyBorder="1"/>
    <xf numFmtId="0" fontId="1" fillId="0" borderId="0" xfId="0" applyFont="1" applyBorder="1"/>
    <xf numFmtId="0" fontId="1" fillId="0" borderId="25" xfId="0" applyFont="1" applyBorder="1"/>
    <xf numFmtId="0" fontId="4" fillId="0" borderId="19" xfId="0" applyFont="1" applyBorder="1"/>
    <xf numFmtId="0" fontId="4" fillId="0" borderId="22" xfId="0" applyFont="1" applyBorder="1"/>
    <xf numFmtId="0" fontId="4" fillId="0" borderId="24" xfId="0" applyFont="1" applyBorder="1"/>
    <xf numFmtId="0" fontId="4" fillId="0" borderId="0" xfId="0" applyFont="1" applyFill="1" applyBorder="1" applyAlignment="1">
      <alignment horizontal="left"/>
    </xf>
    <xf numFmtId="0" fontId="1" fillId="0" borderId="0" xfId="0" applyFont="1"/>
    <xf numFmtId="0" fontId="0" fillId="0" borderId="0" xfId="0" applyFont="1" applyFill="1" applyBorder="1"/>
    <xf numFmtId="0" fontId="1" fillId="0" borderId="0" xfId="0" applyFont="1" applyFill="1" applyBorder="1"/>
    <xf numFmtId="0" fontId="17" fillId="4" borderId="0" xfId="1"/>
    <xf numFmtId="0" fontId="1" fillId="0" borderId="19" xfId="0" applyFont="1" applyFill="1" applyBorder="1"/>
    <xf numFmtId="0" fontId="1" fillId="0" borderId="22" xfId="0" applyFont="1" applyFill="1" applyBorder="1"/>
    <xf numFmtId="0" fontId="1" fillId="0" borderId="24" xfId="0" applyFont="1" applyFill="1" applyBorder="1"/>
    <xf numFmtId="22" fontId="18" fillId="0" borderId="0" xfId="0" applyNumberFormat="1" applyFont="1"/>
    <xf numFmtId="0" fontId="18" fillId="0" borderId="0" xfId="0" applyFont="1"/>
    <xf numFmtId="0" fontId="0" fillId="0" borderId="27" xfId="0" applyBorder="1" applyAlignment="1">
      <alignment horizontal="center"/>
    </xf>
  </cellXfs>
  <cellStyles count="2">
    <cellStyle name="Bad" xfId="1" builtinId="27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62976"/>
        <c:axId val="45664512"/>
      </c:scatterChart>
      <c:valAx>
        <c:axId val="45662976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664512"/>
        <c:crosses val="autoZero"/>
        <c:crossBetween val="midCat"/>
      </c:valAx>
      <c:valAx>
        <c:axId val="45664512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662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37248"/>
        <c:axId val="40438784"/>
      </c:scatterChart>
      <c:valAx>
        <c:axId val="40437248"/>
        <c:scaling>
          <c:orientation val="minMax"/>
          <c:max val="80"/>
          <c:min val="-8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38784"/>
        <c:crosses val="autoZero"/>
        <c:crossBetween val="midCat"/>
        <c:majorUnit val="40"/>
      </c:valAx>
      <c:valAx>
        <c:axId val="40438784"/>
        <c:scaling>
          <c:orientation val="minMax"/>
          <c:max val="4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37248"/>
        <c:crosses val="autoZero"/>
        <c:crossBetween val="midCat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Aerial View of the Scene</a:t>
            </a:r>
          </a:p>
        </c:rich>
      </c:tx>
      <c:layout>
        <c:manualLayout>
          <c:xMode val="edge"/>
          <c:yMode val="edge"/>
          <c:x val="0.25454609082955537"/>
          <c:y val="3.6184210526315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909152785134899"/>
          <c:y val="0.30263206503145734"/>
          <c:w val="0.71818394348941605"/>
          <c:h val="0.6315799618047804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Main!$K$2:$K$77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280</c:v>
                </c:pt>
                <c:pt idx="3">
                  <c:v>280</c:v>
                </c:pt>
                <c:pt idx="4">
                  <c:v>700</c:v>
                </c:pt>
                <c:pt idx="5">
                  <c:v>700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280</c:v>
                </c:pt>
                <c:pt idx="11">
                  <c:v>280</c:v>
                </c:pt>
                <c:pt idx="12">
                  <c:v>700</c:v>
                </c:pt>
                <c:pt idx="13">
                  <c:v>700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210</c:v>
                </c:pt>
                <c:pt idx="19">
                  <c:v>210</c:v>
                </c:pt>
                <c:pt idx="20">
                  <c:v>0</c:v>
                </c:pt>
                <c:pt idx="22">
                  <c:v>489.99999999999994</c:v>
                </c:pt>
                <c:pt idx="23">
                  <c:v>700</c:v>
                </c:pt>
                <c:pt idx="24">
                  <c:v>700</c:v>
                </c:pt>
                <c:pt idx="25">
                  <c:v>489.99999999999994</c:v>
                </c:pt>
                <c:pt idx="26">
                  <c:v>489.99999999999994</c:v>
                </c:pt>
                <c:pt idx="28">
                  <c:v>489.99999999999994</c:v>
                </c:pt>
                <c:pt idx="29">
                  <c:v>489.99999999999994</c:v>
                </c:pt>
                <c:pt idx="30">
                  <c:v>210</c:v>
                </c:pt>
                <c:pt idx="31">
                  <c:v>210</c:v>
                </c:pt>
                <c:pt idx="32">
                  <c:v>489.99999999999994</c:v>
                </c:pt>
                <c:pt idx="34">
                  <c:v>0</c:v>
                </c:pt>
                <c:pt idx="35">
                  <c:v>0</c:v>
                </c:pt>
                <c:pt idx="36">
                  <c:v>700</c:v>
                </c:pt>
                <c:pt idx="37">
                  <c:v>700</c:v>
                </c:pt>
                <c:pt idx="38">
                  <c:v>489.99999999999994</c:v>
                </c:pt>
                <c:pt idx="39">
                  <c:v>489.99999999999994</c:v>
                </c:pt>
                <c:pt idx="40">
                  <c:v>210</c:v>
                </c:pt>
                <c:pt idx="41">
                  <c:v>210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700</c:v>
                </c:pt>
                <c:pt idx="47">
                  <c:v>700</c:v>
                </c:pt>
                <c:pt idx="48">
                  <c:v>489.99999999999994</c:v>
                </c:pt>
                <c:pt idx="49">
                  <c:v>489.99999999999994</c:v>
                </c:pt>
                <c:pt idx="50">
                  <c:v>210</c:v>
                </c:pt>
                <c:pt idx="51">
                  <c:v>210</c:v>
                </c:pt>
                <c:pt idx="52">
                  <c:v>0</c:v>
                </c:pt>
                <c:pt idx="54">
                  <c:v>280</c:v>
                </c:pt>
                <c:pt idx="55">
                  <c:v>280</c:v>
                </c:pt>
                <c:pt idx="56">
                  <c:v>700</c:v>
                </c:pt>
                <c:pt idx="57">
                  <c:v>700</c:v>
                </c:pt>
                <c:pt idx="58">
                  <c:v>280</c:v>
                </c:pt>
                <c:pt idx="60">
                  <c:v>0</c:v>
                </c:pt>
                <c:pt idx="61">
                  <c:v>0</c:v>
                </c:pt>
                <c:pt idx="62">
                  <c:v>280</c:v>
                </c:pt>
                <c:pt idx="63">
                  <c:v>280</c:v>
                </c:pt>
                <c:pt idx="64">
                  <c:v>0</c:v>
                </c:pt>
                <c:pt idx="66">
                  <c:v>105</c:v>
                </c:pt>
                <c:pt idx="67">
                  <c:v>105</c:v>
                </c:pt>
                <c:pt idx="68">
                  <c:v>350</c:v>
                </c:pt>
                <c:pt idx="70">
                  <c:v>210</c:v>
                </c:pt>
                <c:pt idx="71">
                  <c:v>210</c:v>
                </c:pt>
                <c:pt idx="73">
                  <c:v>244.99999999999997</c:v>
                </c:pt>
                <c:pt idx="74">
                  <c:v>350</c:v>
                </c:pt>
                <c:pt idx="75">
                  <c:v>455</c:v>
                </c:pt>
              </c:numCache>
            </c:numRef>
          </c:xVal>
          <c:yVal>
            <c:numRef>
              <c:f>Main!$L$2:$L$77</c:f>
              <c:numCache>
                <c:formatCode>General</c:formatCode>
                <c:ptCount val="76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140</c:v>
                </c:pt>
                <c:pt idx="4">
                  <c:v>140</c:v>
                </c:pt>
                <c:pt idx="5">
                  <c:v>0</c:v>
                </c:pt>
                <c:pt idx="6">
                  <c:v>0</c:v>
                </c:pt>
                <c:pt idx="8">
                  <c:v>40</c:v>
                </c:pt>
                <c:pt idx="9">
                  <c:v>200</c:v>
                </c:pt>
                <c:pt idx="10">
                  <c:v>200</c:v>
                </c:pt>
                <c:pt idx="11">
                  <c:v>140</c:v>
                </c:pt>
                <c:pt idx="12">
                  <c:v>140</c:v>
                </c:pt>
                <c:pt idx="13">
                  <c:v>40</c:v>
                </c:pt>
                <c:pt idx="14">
                  <c:v>40</c:v>
                </c:pt>
                <c:pt idx="16">
                  <c:v>0</c:v>
                </c:pt>
                <c:pt idx="17">
                  <c:v>40</c:v>
                </c:pt>
                <c:pt idx="18">
                  <c:v>40</c:v>
                </c:pt>
                <c:pt idx="19">
                  <c:v>0</c:v>
                </c:pt>
                <c:pt idx="20">
                  <c:v>0</c:v>
                </c:pt>
                <c:pt idx="22">
                  <c:v>40</c:v>
                </c:pt>
                <c:pt idx="23">
                  <c:v>40</c:v>
                </c:pt>
                <c:pt idx="24">
                  <c:v>0</c:v>
                </c:pt>
                <c:pt idx="25">
                  <c:v>0</c:v>
                </c:pt>
                <c:pt idx="26">
                  <c:v>40</c:v>
                </c:pt>
                <c:pt idx="28">
                  <c:v>40</c:v>
                </c:pt>
                <c:pt idx="29">
                  <c:v>0</c:v>
                </c:pt>
                <c:pt idx="30">
                  <c:v>0</c:v>
                </c:pt>
                <c:pt idx="31">
                  <c:v>40</c:v>
                </c:pt>
                <c:pt idx="32">
                  <c:v>40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6">
                  <c:v>50</c:v>
                </c:pt>
                <c:pt idx="67">
                  <c:v>120</c:v>
                </c:pt>
                <c:pt idx="68">
                  <c:v>120</c:v>
                </c:pt>
                <c:pt idx="70">
                  <c:v>70</c:v>
                </c:pt>
                <c:pt idx="71">
                  <c:v>190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Main!$E$12</c:f>
              <c:numCache>
                <c:formatCode>General</c:formatCode>
                <c:ptCount val="1"/>
                <c:pt idx="0">
                  <c:v>1655.3293414881894</c:v>
                </c:pt>
              </c:numCache>
            </c:numRef>
          </c:xVal>
          <c:yVal>
            <c:numRef>
              <c:f>Main!$D$12</c:f>
              <c:numCache>
                <c:formatCode>General</c:formatCode>
                <c:ptCount val="1"/>
                <c:pt idx="0">
                  <c:v>-1292.2402142048813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99168"/>
        <c:axId val="55401472"/>
      </c:scatterChart>
      <c:valAx>
        <c:axId val="5539916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y</a:t>
                </a:r>
              </a:p>
            </c:rich>
          </c:tx>
          <c:layout>
            <c:manualLayout>
              <c:xMode val="edge"/>
              <c:yMode val="edge"/>
              <c:x val="0.80606283305495907"/>
              <c:y val="0.21052666114104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401472"/>
        <c:crosses val="autoZero"/>
        <c:crossBetween val="midCat"/>
      </c:valAx>
      <c:valAx>
        <c:axId val="55401472"/>
        <c:scaling>
          <c:orientation val="maxMin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x</a:t>
                </a:r>
              </a:p>
            </c:rich>
          </c:tx>
          <c:layout>
            <c:manualLayout>
              <c:xMode val="edge"/>
              <c:yMode val="edge"/>
              <c:x val="6.9697287839020156E-2"/>
              <c:y val="0.700658930791545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399168"/>
        <c:crosses val="autoZero"/>
        <c:crossBetween val="midCat"/>
        <c:majorUnit val="2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38496"/>
        <c:axId val="44140032"/>
      </c:scatterChart>
      <c:valAx>
        <c:axId val="44138496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40032"/>
        <c:crosses val="autoZero"/>
        <c:crossBetween val="midCat"/>
      </c:valAx>
      <c:valAx>
        <c:axId val="44140032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138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Side View of the Scene</a:t>
            </a:r>
          </a:p>
        </c:rich>
      </c:tx>
      <c:layout>
        <c:manualLayout>
          <c:xMode val="edge"/>
          <c:yMode val="edge"/>
          <c:x val="0.16207634982321911"/>
          <c:y val="6.130266719699105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Main!$L$99:$L$174</c:f>
              <c:numCache>
                <c:formatCode>General</c:formatCode>
                <c:ptCount val="76"/>
                <c:pt idx="0">
                  <c:v>277.99368408755231</c:v>
                </c:pt>
                <c:pt idx="1">
                  <c:v>138.02252183131361</c:v>
                </c:pt>
                <c:pt idx="2">
                  <c:v>-61.977039477730045</c:v>
                </c:pt>
                <c:pt idx="3">
                  <c:v>-19.985690800858436</c:v>
                </c:pt>
                <c:pt idx="4">
                  <c:v>-319.98503276442398</c:v>
                </c:pt>
                <c:pt idx="5">
                  <c:v>-222.00521918505683</c:v>
                </c:pt>
                <c:pt idx="6">
                  <c:v>277.99368408755231</c:v>
                </c:pt>
                <c:pt idx="8">
                  <c:v>249.99945163630457</c:v>
                </c:pt>
                <c:pt idx="9">
                  <c:v>138.02252183131361</c:v>
                </c:pt>
                <c:pt idx="10">
                  <c:v>-61.977039477730045</c:v>
                </c:pt>
                <c:pt idx="11">
                  <c:v>-19.985690800858436</c:v>
                </c:pt>
                <c:pt idx="12">
                  <c:v>-319.98503276442398</c:v>
                </c:pt>
                <c:pt idx="13">
                  <c:v>-249.99945163630457</c:v>
                </c:pt>
                <c:pt idx="14">
                  <c:v>249.99945163630457</c:v>
                </c:pt>
                <c:pt idx="16">
                  <c:v>277.99368408755231</c:v>
                </c:pt>
                <c:pt idx="17">
                  <c:v>249.99945163630457</c:v>
                </c:pt>
                <c:pt idx="18">
                  <c:v>99.999780654521828</c:v>
                </c:pt>
                <c:pt idx="19">
                  <c:v>127.99401310576957</c:v>
                </c:pt>
                <c:pt idx="20">
                  <c:v>277.99368408755231</c:v>
                </c:pt>
                <c:pt idx="22">
                  <c:v>-99.999780654521771</c:v>
                </c:pt>
                <c:pt idx="23">
                  <c:v>-249.99945163630457</c:v>
                </c:pt>
                <c:pt idx="24">
                  <c:v>-222.00521918505683</c:v>
                </c:pt>
                <c:pt idx="25">
                  <c:v>-72.005548203274031</c:v>
                </c:pt>
                <c:pt idx="26">
                  <c:v>-99.999780654521771</c:v>
                </c:pt>
                <c:pt idx="28">
                  <c:v>-99.999780654521771</c:v>
                </c:pt>
                <c:pt idx="29">
                  <c:v>-72.005548203274031</c:v>
                </c:pt>
                <c:pt idx="30">
                  <c:v>127.99401310576957</c:v>
                </c:pt>
                <c:pt idx="31">
                  <c:v>99.999780654521828</c:v>
                </c:pt>
                <c:pt idx="32">
                  <c:v>-99.999780654521771</c:v>
                </c:pt>
                <c:pt idx="34">
                  <c:v>277.99368408755231</c:v>
                </c:pt>
                <c:pt idx="35">
                  <c:v>277.99368408755231</c:v>
                </c:pt>
                <c:pt idx="36">
                  <c:v>-222.00521918505683</c:v>
                </c:pt>
                <c:pt idx="37">
                  <c:v>-222.00521918505683</c:v>
                </c:pt>
                <c:pt idx="38">
                  <c:v>-72.005548203274031</c:v>
                </c:pt>
                <c:pt idx="39">
                  <c:v>-72.005548203274031</c:v>
                </c:pt>
                <c:pt idx="40">
                  <c:v>127.99401310576957</c:v>
                </c:pt>
                <c:pt idx="41">
                  <c:v>127.99401310576957</c:v>
                </c:pt>
                <c:pt idx="42">
                  <c:v>277.99368408755231</c:v>
                </c:pt>
                <c:pt idx="44">
                  <c:v>249.99945163630457</c:v>
                </c:pt>
                <c:pt idx="45">
                  <c:v>249.99945163630457</c:v>
                </c:pt>
                <c:pt idx="46">
                  <c:v>-249.99945163630457</c:v>
                </c:pt>
                <c:pt idx="47">
                  <c:v>-249.99945163630457</c:v>
                </c:pt>
                <c:pt idx="48">
                  <c:v>-99.999780654521771</c:v>
                </c:pt>
                <c:pt idx="49">
                  <c:v>-99.999780654521771</c:v>
                </c:pt>
                <c:pt idx="50">
                  <c:v>99.999780654521828</c:v>
                </c:pt>
                <c:pt idx="51">
                  <c:v>99.999780654521828</c:v>
                </c:pt>
                <c:pt idx="52">
                  <c:v>249.99945163630457</c:v>
                </c:pt>
                <c:pt idx="54">
                  <c:v>-19.985690800858436</c:v>
                </c:pt>
                <c:pt idx="55">
                  <c:v>-19.985690800858436</c:v>
                </c:pt>
                <c:pt idx="56">
                  <c:v>-319.98503276442398</c:v>
                </c:pt>
                <c:pt idx="57">
                  <c:v>-319.98503276442398</c:v>
                </c:pt>
                <c:pt idx="58">
                  <c:v>-19.985690800858436</c:v>
                </c:pt>
                <c:pt idx="60">
                  <c:v>138.02252183131361</c:v>
                </c:pt>
                <c:pt idx="61">
                  <c:v>138.02252183131361</c:v>
                </c:pt>
                <c:pt idx="62">
                  <c:v>-61.977039477730045</c:v>
                </c:pt>
                <c:pt idx="63">
                  <c:v>-61.977039477730045</c:v>
                </c:pt>
                <c:pt idx="64">
                  <c:v>138.02252183131361</c:v>
                </c:pt>
                <c:pt idx="66">
                  <c:v>168.00105803260126</c:v>
                </c:pt>
                <c:pt idx="67">
                  <c:v>119.01115124291772</c:v>
                </c:pt>
                <c:pt idx="68">
                  <c:v>-55.98846490249548</c:v>
                </c:pt>
                <c:pt idx="70">
                  <c:v>79.004106316086023</c:v>
                </c:pt>
                <c:pt idx="71">
                  <c:v>-4.9785910376572247</c:v>
                </c:pt>
                <c:pt idx="73">
                  <c:v>74.9998354908914</c:v>
                </c:pt>
                <c:pt idx="74">
                  <c:v>0</c:v>
                </c:pt>
                <c:pt idx="75">
                  <c:v>-74.999835490891371</c:v>
                </c:pt>
              </c:numCache>
            </c:numRef>
          </c:xVal>
          <c:yVal>
            <c:numRef>
              <c:f>Main!$M$99:$M$174</c:f>
              <c:numCache>
                <c:formatCode>General</c:formatCode>
                <c:ptCount val="76"/>
                <c:pt idx="0">
                  <c:v>-522.56108099161656</c:v>
                </c:pt>
                <c:pt idx="1">
                  <c:v>-404.33192058755719</c:v>
                </c:pt>
                <c:pt idx="2">
                  <c:v>-566.50927166073097</c:v>
                </c:pt>
                <c:pt idx="3">
                  <c:v>-601.97801978194889</c:v>
                </c:pt>
                <c:pt idx="4">
                  <c:v>-845.24404639170962</c:v>
                </c:pt>
                <c:pt idx="5">
                  <c:v>-928.00445867455119</c:v>
                </c:pt>
                <c:pt idx="6">
                  <c:v>-522.56108099161656</c:v>
                </c:pt>
                <c:pt idx="8">
                  <c:v>-218.26047380989604</c:v>
                </c:pt>
                <c:pt idx="9">
                  <c:v>-123.67714548664856</c:v>
                </c:pt>
                <c:pt idx="10">
                  <c:v>-285.85449655982234</c:v>
                </c:pt>
                <c:pt idx="11">
                  <c:v>-321.32324468104019</c:v>
                </c:pt>
                <c:pt idx="12">
                  <c:v>-564.58927129080098</c:v>
                </c:pt>
                <c:pt idx="13">
                  <c:v>-623.70385149283061</c:v>
                </c:pt>
                <c:pt idx="14">
                  <c:v>-218.26047380989604</c:v>
                </c:pt>
                <c:pt idx="16">
                  <c:v>319.40324431110935</c:v>
                </c:pt>
                <c:pt idx="17">
                  <c:v>343.04907639192118</c:v>
                </c:pt>
                <c:pt idx="18">
                  <c:v>221.41606308704081</c:v>
                </c:pt>
                <c:pt idx="19">
                  <c:v>197.77023100622898</c:v>
                </c:pt>
                <c:pt idx="20">
                  <c:v>319.40324431110935</c:v>
                </c:pt>
                <c:pt idx="22">
                  <c:v>59.238712013867143</c:v>
                </c:pt>
                <c:pt idx="23">
                  <c:v>-62.394301291013335</c:v>
                </c:pt>
                <c:pt idx="24">
                  <c:v>-86.04013337182522</c:v>
                </c:pt>
                <c:pt idx="25">
                  <c:v>35.592879933055201</c:v>
                </c:pt>
                <c:pt idx="26">
                  <c:v>59.238712013867143</c:v>
                </c:pt>
                <c:pt idx="28">
                  <c:v>620.54826221568442</c:v>
                </c:pt>
                <c:pt idx="29">
                  <c:v>596.90243013487247</c:v>
                </c:pt>
                <c:pt idx="30">
                  <c:v>759.07978120804637</c:v>
                </c:pt>
                <c:pt idx="31">
                  <c:v>782.72561328885809</c:v>
                </c:pt>
                <c:pt idx="32">
                  <c:v>620.54826221568442</c:v>
                </c:pt>
                <c:pt idx="34">
                  <c:v>319.40324431110935</c:v>
                </c:pt>
                <c:pt idx="35">
                  <c:v>-522.56108099161656</c:v>
                </c:pt>
                <c:pt idx="36">
                  <c:v>-928.00445867455119</c:v>
                </c:pt>
                <c:pt idx="37">
                  <c:v>-86.04013337182522</c:v>
                </c:pt>
                <c:pt idx="38">
                  <c:v>35.592879933055201</c:v>
                </c:pt>
                <c:pt idx="39">
                  <c:v>596.90243013487247</c:v>
                </c:pt>
                <c:pt idx="40">
                  <c:v>759.07978120804637</c:v>
                </c:pt>
                <c:pt idx="41">
                  <c:v>197.77023100622898</c:v>
                </c:pt>
                <c:pt idx="42">
                  <c:v>319.40324431110935</c:v>
                </c:pt>
                <c:pt idx="44">
                  <c:v>343.04907639192118</c:v>
                </c:pt>
                <c:pt idx="45">
                  <c:v>-218.26047380989604</c:v>
                </c:pt>
                <c:pt idx="46">
                  <c:v>-623.70385149283061</c:v>
                </c:pt>
                <c:pt idx="47">
                  <c:v>-62.394301291013335</c:v>
                </c:pt>
                <c:pt idx="48">
                  <c:v>59.238712013867143</c:v>
                </c:pt>
                <c:pt idx="49">
                  <c:v>620.54826221568442</c:v>
                </c:pt>
                <c:pt idx="50">
                  <c:v>782.72561328885809</c:v>
                </c:pt>
                <c:pt idx="51">
                  <c:v>221.41606308704081</c:v>
                </c:pt>
                <c:pt idx="52">
                  <c:v>343.04907639192118</c:v>
                </c:pt>
                <c:pt idx="54">
                  <c:v>-321.32324468104019</c:v>
                </c:pt>
                <c:pt idx="55">
                  <c:v>-601.97801978194889</c:v>
                </c:pt>
                <c:pt idx="56">
                  <c:v>-845.24404639170962</c:v>
                </c:pt>
                <c:pt idx="57">
                  <c:v>-564.58927129080098</c:v>
                </c:pt>
                <c:pt idx="58">
                  <c:v>-321.32324468104019</c:v>
                </c:pt>
                <c:pt idx="60">
                  <c:v>-123.67714548664856</c:v>
                </c:pt>
                <c:pt idx="61">
                  <c:v>-404.33192058755719</c:v>
                </c:pt>
                <c:pt idx="62">
                  <c:v>-566.50927166073097</c:v>
                </c:pt>
                <c:pt idx="63">
                  <c:v>-285.85449655982234</c:v>
                </c:pt>
                <c:pt idx="64">
                  <c:v>-123.67714548664856</c:v>
                </c:pt>
                <c:pt idx="66">
                  <c:v>-273.16552244213324</c:v>
                </c:pt>
                <c:pt idx="67">
                  <c:v>-231.78531630071245</c:v>
                </c:pt>
                <c:pt idx="68">
                  <c:v>-373.69049848973958</c:v>
                </c:pt>
                <c:pt idx="70">
                  <c:v>-322.15911305416751</c:v>
                </c:pt>
                <c:pt idx="71">
                  <c:v>-251.22161681173185</c:v>
                </c:pt>
                <c:pt idx="73">
                  <c:v>622.12605685425729</c:v>
                </c:pt>
                <c:pt idx="74">
                  <c:v>-3.4106051316484809E-13</c:v>
                </c:pt>
                <c:pt idx="75">
                  <c:v>79.510880898013738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68800"/>
        <c:axId val="46271104"/>
      </c:scatterChart>
      <c:valAx>
        <c:axId val="46268800"/>
        <c:scaling>
          <c:orientation val="minMax"/>
          <c:max val="400"/>
          <c:min val="-4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104"/>
        <c:crosses val="autoZero"/>
        <c:crossBetween val="midCat"/>
        <c:majorUnit val="200"/>
        <c:minorUnit val="40"/>
      </c:valAx>
      <c:valAx>
        <c:axId val="46271104"/>
        <c:scaling>
          <c:orientation val="minMax"/>
          <c:max val="1000"/>
          <c:min val="-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8800"/>
        <c:crosses val="autoZero"/>
        <c:crossBetween val="midCat"/>
        <c:majorUnit val="500"/>
        <c:minorUnit val="1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12700" cap="flat" cmpd="sng" algn="ctr">
      <a:solidFill>
        <a:srgbClr val="000000">
          <a:alpha val="84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8624"/>
        <c:axId val="46300160"/>
      </c:scatterChart>
      <c:valAx>
        <c:axId val="46298624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00160"/>
        <c:crosses val="autoZero"/>
        <c:crossBetween val="midCat"/>
      </c:valAx>
      <c:valAx>
        <c:axId val="46300160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986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Perspective</a:t>
            </a:r>
            <a:r>
              <a:rPr lang="en-US" baseline="0"/>
              <a:t> Side view</a:t>
            </a:r>
            <a:endParaRPr lang="en-US"/>
          </a:p>
        </c:rich>
      </c:tx>
      <c:layout>
        <c:manualLayout>
          <c:xMode val="edge"/>
          <c:yMode val="edge"/>
          <c:x val="0.26207644356955379"/>
          <c:y val="6.130252011181529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Main!$L$193:$L$268</c:f>
              <c:numCache>
                <c:formatCode>General</c:formatCode>
                <c:ptCount val="76"/>
                <c:pt idx="0">
                  <c:v>27.917739632125624</c:v>
                </c:pt>
                <c:pt idx="1">
                  <c:v>13.641320339562307</c:v>
                </c:pt>
                <c:pt idx="2">
                  <c:v>-6.2615809761670684</c:v>
                </c:pt>
                <c:pt idx="3">
                  <c:v>-2.0290301713150556</c:v>
                </c:pt>
                <c:pt idx="4">
                  <c:v>-33.612255881023898</c:v>
                </c:pt>
                <c:pt idx="5">
                  <c:v>-23.598421754253007</c:v>
                </c:pt>
                <c:pt idx="6">
                  <c:v>27.917739632125624</c:v>
                </c:pt>
                <c:pt idx="8">
                  <c:v>27.286353828949416</c:v>
                </c:pt>
                <c:pt idx="9">
                  <c:v>14.856518476129505</c:v>
                </c:pt>
                <c:pt idx="10">
                  <c:v>-6.8329045245745297</c:v>
                </c:pt>
                <c:pt idx="11">
                  <c:v>-2.2151516070553803</c:v>
                </c:pt>
                <c:pt idx="12">
                  <c:v>-36.812530654635928</c:v>
                </c:pt>
                <c:pt idx="13">
                  <c:v>-29.028864894569534</c:v>
                </c:pt>
                <c:pt idx="14">
                  <c:v>27.286353828949416</c:v>
                </c:pt>
                <c:pt idx="16">
                  <c:v>37.19087423336692</c:v>
                </c:pt>
                <c:pt idx="17">
                  <c:v>33.302812815056804</c:v>
                </c:pt>
                <c:pt idx="18">
                  <c:v>13.620485803590492</c:v>
                </c:pt>
                <c:pt idx="19">
                  <c:v>17.509941141931577</c:v>
                </c:pt>
                <c:pt idx="20">
                  <c:v>37.19087423336692</c:v>
                </c:pt>
                <c:pt idx="22">
                  <c:v>-14.041209627666277</c:v>
                </c:pt>
                <c:pt idx="23">
                  <c:v>-35.935534884576342</c:v>
                </c:pt>
                <c:pt idx="24">
                  <c:v>-32.059385143109779</c:v>
                </c:pt>
                <c:pt idx="25">
                  <c:v>-10.156212620730457</c:v>
                </c:pt>
                <c:pt idx="26">
                  <c:v>-14.041209627666277</c:v>
                </c:pt>
                <c:pt idx="28">
                  <c:v>-18.292644926009636</c:v>
                </c:pt>
                <c:pt idx="29">
                  <c:v>-13.249487332588036</c:v>
                </c:pt>
                <c:pt idx="30">
                  <c:v>22.635461722288838</c:v>
                </c:pt>
                <c:pt idx="31">
                  <c:v>17.584994573583622</c:v>
                </c:pt>
                <c:pt idx="32">
                  <c:v>-18.292644926009636</c:v>
                </c:pt>
                <c:pt idx="34">
                  <c:v>37.19087423336692</c:v>
                </c:pt>
                <c:pt idx="35">
                  <c:v>27.917739632125624</c:v>
                </c:pt>
                <c:pt idx="36">
                  <c:v>-23.598421754253007</c:v>
                </c:pt>
                <c:pt idx="37">
                  <c:v>-32.059385143109779</c:v>
                </c:pt>
                <c:pt idx="38">
                  <c:v>-10.156212620730457</c:v>
                </c:pt>
                <c:pt idx="39">
                  <c:v>-13.249487332588036</c:v>
                </c:pt>
                <c:pt idx="40">
                  <c:v>22.635461722288838</c:v>
                </c:pt>
                <c:pt idx="41">
                  <c:v>17.509941141931577</c:v>
                </c:pt>
                <c:pt idx="42">
                  <c:v>37.19087423336692</c:v>
                </c:pt>
                <c:pt idx="44">
                  <c:v>33.302812815056804</c:v>
                </c:pt>
                <c:pt idx="45">
                  <c:v>27.286353828949416</c:v>
                </c:pt>
                <c:pt idx="46">
                  <c:v>-29.028864894569534</c:v>
                </c:pt>
                <c:pt idx="47">
                  <c:v>-35.935534884576342</c:v>
                </c:pt>
                <c:pt idx="48">
                  <c:v>-14.041209627666277</c:v>
                </c:pt>
                <c:pt idx="49">
                  <c:v>-18.292644926009636</c:v>
                </c:pt>
                <c:pt idx="50">
                  <c:v>17.584994573583622</c:v>
                </c:pt>
                <c:pt idx="51">
                  <c:v>13.620485803590492</c:v>
                </c:pt>
                <c:pt idx="52">
                  <c:v>33.302812815056804</c:v>
                </c:pt>
                <c:pt idx="54">
                  <c:v>-2.2151516070553803</c:v>
                </c:pt>
                <c:pt idx="55">
                  <c:v>-2.0290301713150556</c:v>
                </c:pt>
                <c:pt idx="56">
                  <c:v>-33.612255881023898</c:v>
                </c:pt>
                <c:pt idx="57">
                  <c:v>-36.812530654635928</c:v>
                </c:pt>
                <c:pt idx="58">
                  <c:v>-2.2151516070553803</c:v>
                </c:pt>
                <c:pt idx="60">
                  <c:v>14.856518476129505</c:v>
                </c:pt>
                <c:pt idx="61">
                  <c:v>13.641320339562307</c:v>
                </c:pt>
                <c:pt idx="62">
                  <c:v>-6.2615809761670684</c:v>
                </c:pt>
                <c:pt idx="63">
                  <c:v>-6.8329045245745297</c:v>
                </c:pt>
                <c:pt idx="64">
                  <c:v>14.856518476129505</c:v>
                </c:pt>
                <c:pt idx="66">
                  <c:v>18.486861863738152</c:v>
                </c:pt>
                <c:pt idx="67">
                  <c:v>13.015612283138456</c:v>
                </c:pt>
                <c:pt idx="68">
                  <c:v>-6.2548324816771217</c:v>
                </c:pt>
                <c:pt idx="70">
                  <c:v>8.7576692024800984</c:v>
                </c:pt>
                <c:pt idx="71">
                  <c:v>-0.5460563192505703</c:v>
                </c:pt>
                <c:pt idx="73">
                  <c:v>12.349802037389209</c:v>
                </c:pt>
                <c:pt idx="74">
                  <c:v>0</c:v>
                </c:pt>
                <c:pt idx="75">
                  <c:v>-10.49040240433485</c:v>
                </c:pt>
              </c:numCache>
            </c:numRef>
          </c:xVal>
          <c:yVal>
            <c:numRef>
              <c:f>Main!$M$193:$M$268</c:f>
              <c:numCache>
                <c:formatCode>General</c:formatCode>
                <c:ptCount val="76"/>
                <c:pt idx="0">
                  <c:v>-52.478617450932582</c:v>
                </c:pt>
                <c:pt idx="1">
                  <c:v>-39.961748119530363</c:v>
                </c:pt>
                <c:pt idx="2">
                  <c:v>-57.234803536037099</c:v>
                </c:pt>
                <c:pt idx="3">
                  <c:v>-61.115303782924641</c:v>
                </c:pt>
                <c:pt idx="4">
                  <c:v>-88.787150210698456</c:v>
                </c:pt>
                <c:pt idx="5">
                  <c:v>-98.643809753745487</c:v>
                </c:pt>
                <c:pt idx="6">
                  <c:v>-52.478617450932582</c:v>
                </c:pt>
                <c:pt idx="8">
                  <c:v>-23.822182313883591</c:v>
                </c:pt>
                <c:pt idx="9">
                  <c:v>-13.312405632198002</c:v>
                </c:pt>
                <c:pt idx="10">
                  <c:v>-31.515162701752246</c:v>
                </c:pt>
                <c:pt idx="11">
                  <c:v>-35.614465816156958</c:v>
                </c:pt>
                <c:pt idx="12">
                  <c:v>-64.952912569421713</c:v>
                </c:pt>
                <c:pt idx="13">
                  <c:v>-72.421818210815616</c:v>
                </c:pt>
                <c:pt idx="14">
                  <c:v>-23.822182313883591</c:v>
                </c:pt>
                <c:pt idx="16">
                  <c:v>42.730776160952843</c:v>
                </c:pt>
                <c:pt idx="17">
                  <c:v>45.698096946542357</c:v>
                </c:pt>
                <c:pt idx="18">
                  <c:v>30.158009589869703</c:v>
                </c:pt>
                <c:pt idx="19">
                  <c:v>27.055524086768258</c:v>
                </c:pt>
                <c:pt idx="20">
                  <c:v>42.730776160952843</c:v>
                </c:pt>
                <c:pt idx="22">
                  <c:v>8.3178499794244285</c:v>
                </c:pt>
                <c:pt idx="23">
                  <c:v>-8.9687100350278168</c:v>
                </c:pt>
                <c:pt idx="24">
                  <c:v>-12.424905070509014</c:v>
                </c:pt>
                <c:pt idx="25">
                  <c:v>5.0202917053522613</c:v>
                </c:pt>
                <c:pt idx="26">
                  <c:v>8.3178499794244285</c:v>
                </c:pt>
                <c:pt idx="28">
                  <c:v>113.5149391915246</c:v>
                </c:pt>
                <c:pt idx="29">
                  <c:v>109.83391397197096</c:v>
                </c:pt>
                <c:pt idx="30">
                  <c:v>134.24160173413301</c:v>
                </c:pt>
                <c:pt idx="31">
                  <c:v>137.64255853562301</c:v>
                </c:pt>
                <c:pt idx="32">
                  <c:v>113.5149391915246</c:v>
                </c:pt>
                <c:pt idx="34">
                  <c:v>42.730776160952843</c:v>
                </c:pt>
                <c:pt idx="35">
                  <c:v>-52.478617450932582</c:v>
                </c:pt>
                <c:pt idx="36">
                  <c:v>-98.643809753745487</c:v>
                </c:pt>
                <c:pt idx="37">
                  <c:v>-12.424905070509014</c:v>
                </c:pt>
                <c:pt idx="38">
                  <c:v>5.0202917053522613</c:v>
                </c:pt>
                <c:pt idx="39">
                  <c:v>109.83391397197096</c:v>
                </c:pt>
                <c:pt idx="40">
                  <c:v>134.24160173413301</c:v>
                </c:pt>
                <c:pt idx="41">
                  <c:v>27.055524086768258</c:v>
                </c:pt>
                <c:pt idx="42">
                  <c:v>42.730776160952843</c:v>
                </c:pt>
                <c:pt idx="44">
                  <c:v>45.698096946542357</c:v>
                </c:pt>
                <c:pt idx="45">
                  <c:v>-23.822182313883591</c:v>
                </c:pt>
                <c:pt idx="46">
                  <c:v>-72.421818210815616</c:v>
                </c:pt>
                <c:pt idx="47">
                  <c:v>-8.9687100350278168</c:v>
                </c:pt>
                <c:pt idx="48">
                  <c:v>8.3178499794244285</c:v>
                </c:pt>
                <c:pt idx="49">
                  <c:v>113.5149391915246</c:v>
                </c:pt>
                <c:pt idx="50">
                  <c:v>137.64255853562301</c:v>
                </c:pt>
                <c:pt idx="51">
                  <c:v>30.158009589869703</c:v>
                </c:pt>
                <c:pt idx="52">
                  <c:v>45.698096946542357</c:v>
                </c:pt>
                <c:pt idx="54">
                  <c:v>-35.614465816156958</c:v>
                </c:pt>
                <c:pt idx="55">
                  <c:v>-61.115303782924641</c:v>
                </c:pt>
                <c:pt idx="56">
                  <c:v>-88.787150210698456</c:v>
                </c:pt>
                <c:pt idx="57">
                  <c:v>-64.952912569421713</c:v>
                </c:pt>
                <c:pt idx="58">
                  <c:v>-35.614465816156958</c:v>
                </c:pt>
                <c:pt idx="60">
                  <c:v>-13.312405632198002</c:v>
                </c:pt>
                <c:pt idx="61">
                  <c:v>-39.961748119530363</c:v>
                </c:pt>
                <c:pt idx="62">
                  <c:v>-57.234803536037099</c:v>
                </c:pt>
                <c:pt idx="63">
                  <c:v>-31.515162701752246</c:v>
                </c:pt>
                <c:pt idx="64">
                  <c:v>-13.312405632198002</c:v>
                </c:pt>
                <c:pt idx="66">
                  <c:v>-30.059175450809448</c:v>
                </c:pt>
                <c:pt idx="67">
                  <c:v>-25.34911878750702</c:v>
                </c:pt>
                <c:pt idx="68">
                  <c:v>-41.747375501691224</c:v>
                </c:pt>
                <c:pt idx="70">
                  <c:v>-35.711598728866697</c:v>
                </c:pt>
                <c:pt idx="71">
                  <c:v>-27.55421169458916</c:v>
                </c:pt>
                <c:pt idx="73">
                  <c:v>102.44200662793087</c:v>
                </c:pt>
                <c:pt idx="74">
                  <c:v>-4.4608293993200924E-14</c:v>
                </c:pt>
                <c:pt idx="75">
                  <c:v>11.121372876139249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3776"/>
        <c:axId val="46366080"/>
      </c:scatterChart>
      <c:valAx>
        <c:axId val="46363776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6080"/>
        <c:crosses val="autoZero"/>
        <c:crossBetween val="midCat"/>
        <c:majorUnit val="10"/>
        <c:minorUnit val="2"/>
      </c:valAx>
      <c:valAx>
        <c:axId val="46366080"/>
        <c:scaling>
          <c:orientation val="minMax"/>
          <c:max val="2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63776"/>
        <c:crosses val="autoZero"/>
        <c:crossBetween val="midCat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12700" cap="flat" cmpd="sng" algn="ctr">
      <a:solidFill>
        <a:srgbClr val="000000">
          <a:alpha val="84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62</xdr:row>
      <xdr:rowOff>0</xdr:rowOff>
    </xdr:from>
    <xdr:to>
      <xdr:col>1</xdr:col>
      <xdr:colOff>0</xdr:colOff>
      <xdr:row>62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62</xdr:row>
      <xdr:rowOff>0</xdr:rowOff>
    </xdr:from>
    <xdr:to>
      <xdr:col>1</xdr:col>
      <xdr:colOff>0</xdr:colOff>
      <xdr:row>62</xdr:row>
      <xdr:rowOff>0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62</xdr:row>
      <xdr:rowOff>0</xdr:rowOff>
    </xdr:from>
    <xdr:to>
      <xdr:col>1</xdr:col>
      <xdr:colOff>0</xdr:colOff>
      <xdr:row>62</xdr:row>
      <xdr:rowOff>0</xdr:rowOff>
    </xdr:to>
    <xdr:sp macro="" textlink="">
      <xdr:nvSpPr>
        <xdr:cNvPr id="1044" name="Text Box 20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62</xdr:row>
      <xdr:rowOff>0</xdr:rowOff>
    </xdr:from>
    <xdr:to>
      <xdr:col>1</xdr:col>
      <xdr:colOff>0</xdr:colOff>
      <xdr:row>62</xdr:row>
      <xdr:rowOff>0</xdr:rowOff>
    </xdr:to>
    <xdr:sp macro="" textlink="">
      <xdr:nvSpPr>
        <xdr:cNvPr id="1046" name="Text Box 22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62</xdr:row>
      <xdr:rowOff>0</xdr:rowOff>
    </xdr:from>
    <xdr:to>
      <xdr:col>1</xdr:col>
      <xdr:colOff>0</xdr:colOff>
      <xdr:row>62</xdr:row>
      <xdr:rowOff>0</xdr:rowOff>
    </xdr:to>
    <xdr:sp macro="" textlink="">
      <xdr:nvSpPr>
        <xdr:cNvPr id="1047" name="Text Box 23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1</xdr:col>
      <xdr:colOff>0</xdr:colOff>
      <xdr:row>62</xdr:row>
      <xdr:rowOff>0</xdr:rowOff>
    </xdr:from>
    <xdr:to>
      <xdr:col>1</xdr:col>
      <xdr:colOff>0</xdr:colOff>
      <xdr:row>62</xdr:row>
      <xdr:rowOff>0</xdr:rowOff>
    </xdr:to>
    <xdr:graphicFrame macro="">
      <xdr:nvGraphicFramePr>
        <xdr:cNvPr id="415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0</xdr:col>
      <xdr:colOff>0</xdr:colOff>
      <xdr:row>41</xdr:row>
      <xdr:rowOff>0</xdr:rowOff>
    </xdr:to>
    <xdr:graphicFrame macro="">
      <xdr:nvGraphicFramePr>
        <xdr:cNvPr id="4151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76200</xdr:colOff>
      <xdr:row>4</xdr:row>
      <xdr:rowOff>19050</xdr:rowOff>
    </xdr:from>
    <xdr:to>
      <xdr:col>2</xdr:col>
      <xdr:colOff>371475</xdr:colOff>
      <xdr:row>9</xdr:row>
      <xdr:rowOff>114300</xdr:rowOff>
    </xdr:to>
    <xdr:sp macro="" textlink="">
      <xdr:nvSpPr>
        <xdr:cNvPr id="4158" name="AutoShape 53"/>
        <xdr:cNvSpPr>
          <a:spLocks/>
        </xdr:cNvSpPr>
      </xdr:nvSpPr>
      <xdr:spPr bwMode="auto">
        <a:xfrm>
          <a:off x="1276350" y="885825"/>
          <a:ext cx="295275" cy="914400"/>
        </a:xfrm>
        <a:prstGeom prst="rightBrace">
          <a:avLst>
            <a:gd name="adj1" fmla="val 2580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6</xdr:row>
      <xdr:rowOff>152400</xdr:rowOff>
    </xdr:from>
    <xdr:to>
      <xdr:col>3</xdr:col>
      <xdr:colOff>571500</xdr:colOff>
      <xdr:row>7</xdr:row>
      <xdr:rowOff>76200</xdr:rowOff>
    </xdr:to>
    <xdr:cxnSp macro="">
      <xdr:nvCxnSpPr>
        <xdr:cNvPr id="4159" name="AutoShape 62"/>
        <xdr:cNvCxnSpPr>
          <a:cxnSpLocks noChangeShapeType="1"/>
        </xdr:cNvCxnSpPr>
      </xdr:nvCxnSpPr>
      <xdr:spPr bwMode="auto">
        <a:xfrm>
          <a:off x="1600200" y="1352550"/>
          <a:ext cx="771525" cy="85725"/>
        </a:xfrm>
        <a:prstGeom prst="bentConnector3">
          <a:avLst>
            <a:gd name="adj1" fmla="val 81481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4</xdr:col>
      <xdr:colOff>304800</xdr:colOff>
      <xdr:row>12</xdr:row>
      <xdr:rowOff>85724</xdr:rowOff>
    </xdr:from>
    <xdr:to>
      <xdr:col>8</xdr:col>
      <xdr:colOff>542925</xdr:colOff>
      <xdr:row>27</xdr:row>
      <xdr:rowOff>57149</xdr:rowOff>
    </xdr:to>
    <xdr:graphicFrame macro="">
      <xdr:nvGraphicFramePr>
        <xdr:cNvPr id="4160" name="Chart 10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</xdr:row>
          <xdr:rowOff>95250</xdr:rowOff>
        </xdr:from>
        <xdr:to>
          <xdr:col>1</xdr:col>
          <xdr:colOff>9525</xdr:colOff>
          <xdr:row>5</xdr:row>
          <xdr:rowOff>57150</xdr:rowOff>
        </xdr:to>
        <xdr:sp macro="" textlink="">
          <xdr:nvSpPr>
            <xdr:cNvPr id="1049" name="cmdRezer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6</xdr:row>
          <xdr:rowOff>57150</xdr:rowOff>
        </xdr:from>
        <xdr:to>
          <xdr:col>1</xdr:col>
          <xdr:colOff>19050</xdr:colOff>
          <xdr:row>8</xdr:row>
          <xdr:rowOff>57150</xdr:rowOff>
        </xdr:to>
        <xdr:sp macro="" textlink="">
          <xdr:nvSpPr>
            <xdr:cNvPr id="1050" name="cmdIncrement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9</xdr:row>
          <xdr:rowOff>19050</xdr:rowOff>
        </xdr:from>
        <xdr:to>
          <xdr:col>1</xdr:col>
          <xdr:colOff>28575</xdr:colOff>
          <xdr:row>11</xdr:row>
          <xdr:rowOff>19050</xdr:rowOff>
        </xdr:to>
        <xdr:sp macro="" textlink="">
          <xdr:nvSpPr>
            <xdr:cNvPr id="1056" name="cmdDecrement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147</xdr:row>
      <xdr:rowOff>0</xdr:rowOff>
    </xdr:from>
    <xdr:to>
      <xdr:col>1</xdr:col>
      <xdr:colOff>0</xdr:colOff>
      <xdr:row>147</xdr:row>
      <xdr:rowOff>0</xdr:rowOff>
    </xdr:to>
    <xdr:sp macro="" textlink="">
      <xdr:nvSpPr>
        <xdr:cNvPr id="31" name="Text Box 18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0</xdr:colOff>
      <xdr:row>147</xdr:row>
      <xdr:rowOff>0</xdr:rowOff>
    </xdr:to>
    <xdr:sp macro="" textlink="">
      <xdr:nvSpPr>
        <xdr:cNvPr id="32" name="Text Box 19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0</xdr:colOff>
      <xdr:row>147</xdr:row>
      <xdr:rowOff>0</xdr:rowOff>
    </xdr:to>
    <xdr:sp macro="" textlink="">
      <xdr:nvSpPr>
        <xdr:cNvPr id="33" name="Text Box 20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0</xdr:colOff>
      <xdr:row>147</xdr:row>
      <xdr:rowOff>0</xdr:rowOff>
    </xdr:to>
    <xdr:sp macro="" textlink="">
      <xdr:nvSpPr>
        <xdr:cNvPr id="34" name="Text Box 22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0</xdr:colOff>
      <xdr:row>147</xdr:row>
      <xdr:rowOff>0</xdr:rowOff>
    </xdr:to>
    <xdr:sp macro="" textlink="">
      <xdr:nvSpPr>
        <xdr:cNvPr id="35" name="Text Box 23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0</xdr:colOff>
      <xdr:row>147</xdr:row>
      <xdr:rowOff>0</xdr:rowOff>
    </xdr:to>
    <xdr:graphicFrame macro="">
      <xdr:nvGraphicFramePr>
        <xdr:cNvPr id="36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12</xdr:row>
      <xdr:rowOff>114300</xdr:rowOff>
    </xdr:from>
    <xdr:to>
      <xdr:col>4</xdr:col>
      <xdr:colOff>104775</xdr:colOff>
      <xdr:row>27</xdr:row>
      <xdr:rowOff>9525</xdr:rowOff>
    </xdr:to>
    <xdr:graphicFrame macro="">
      <xdr:nvGraphicFramePr>
        <xdr:cNvPr id="3" name="Chart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215</xdr:row>
      <xdr:rowOff>0</xdr:rowOff>
    </xdr:from>
    <xdr:to>
      <xdr:col>1</xdr:col>
      <xdr:colOff>0</xdr:colOff>
      <xdr:row>215</xdr:row>
      <xdr:rowOff>0</xdr:rowOff>
    </xdr:to>
    <xdr:sp macro="" textlink="">
      <xdr:nvSpPr>
        <xdr:cNvPr id="22" name="Text Box 18"/>
        <xdr:cNvSpPr txBox="1">
          <a:spLocks noChangeArrowheads="1"/>
        </xdr:cNvSpPr>
      </xdr:nvSpPr>
      <xdr:spPr bwMode="auto">
        <a:xfrm>
          <a:off x="1143000" y="20116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215</xdr:row>
      <xdr:rowOff>0</xdr:rowOff>
    </xdr:from>
    <xdr:to>
      <xdr:col>1</xdr:col>
      <xdr:colOff>0</xdr:colOff>
      <xdr:row>215</xdr:row>
      <xdr:rowOff>0</xdr:rowOff>
    </xdr:to>
    <xdr:sp macro="" textlink="">
      <xdr:nvSpPr>
        <xdr:cNvPr id="23" name="Text Box 19"/>
        <xdr:cNvSpPr txBox="1">
          <a:spLocks noChangeArrowheads="1"/>
        </xdr:cNvSpPr>
      </xdr:nvSpPr>
      <xdr:spPr bwMode="auto">
        <a:xfrm>
          <a:off x="1143000" y="20116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215</xdr:row>
      <xdr:rowOff>0</xdr:rowOff>
    </xdr:from>
    <xdr:to>
      <xdr:col>1</xdr:col>
      <xdr:colOff>0</xdr:colOff>
      <xdr:row>215</xdr:row>
      <xdr:rowOff>0</xdr:rowOff>
    </xdr:to>
    <xdr:sp macro="" textlink="">
      <xdr:nvSpPr>
        <xdr:cNvPr id="24" name="Text Box 20"/>
        <xdr:cNvSpPr txBox="1">
          <a:spLocks noChangeArrowheads="1"/>
        </xdr:cNvSpPr>
      </xdr:nvSpPr>
      <xdr:spPr bwMode="auto">
        <a:xfrm>
          <a:off x="1143000" y="20116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215</xdr:row>
      <xdr:rowOff>0</xdr:rowOff>
    </xdr:from>
    <xdr:to>
      <xdr:col>1</xdr:col>
      <xdr:colOff>0</xdr:colOff>
      <xdr:row>215</xdr:row>
      <xdr:rowOff>0</xdr:rowOff>
    </xdr:to>
    <xdr:sp macro="" textlink="">
      <xdr:nvSpPr>
        <xdr:cNvPr id="25" name="Text Box 22"/>
        <xdr:cNvSpPr txBox="1">
          <a:spLocks noChangeArrowheads="1"/>
        </xdr:cNvSpPr>
      </xdr:nvSpPr>
      <xdr:spPr bwMode="auto">
        <a:xfrm>
          <a:off x="1143000" y="20116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215</xdr:row>
      <xdr:rowOff>0</xdr:rowOff>
    </xdr:from>
    <xdr:to>
      <xdr:col>1</xdr:col>
      <xdr:colOff>0</xdr:colOff>
      <xdr:row>215</xdr:row>
      <xdr:rowOff>0</xdr:rowOff>
    </xdr:to>
    <xdr:sp macro="" textlink="">
      <xdr:nvSpPr>
        <xdr:cNvPr id="26" name="Text Box 23"/>
        <xdr:cNvSpPr txBox="1">
          <a:spLocks noChangeArrowheads="1"/>
        </xdr:cNvSpPr>
      </xdr:nvSpPr>
      <xdr:spPr bwMode="auto">
        <a:xfrm>
          <a:off x="1143000" y="20116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1</xdr:col>
      <xdr:colOff>0</xdr:colOff>
      <xdr:row>215</xdr:row>
      <xdr:rowOff>0</xdr:rowOff>
    </xdr:from>
    <xdr:to>
      <xdr:col>1</xdr:col>
      <xdr:colOff>0</xdr:colOff>
      <xdr:row>215</xdr:row>
      <xdr:rowOff>0</xdr:rowOff>
    </xdr:to>
    <xdr:graphicFrame macro="">
      <xdr:nvGraphicFramePr>
        <xdr:cNvPr id="27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57149</xdr:colOff>
      <xdr:row>28</xdr:row>
      <xdr:rowOff>28575</xdr:rowOff>
    </xdr:from>
    <xdr:to>
      <xdr:col>4</xdr:col>
      <xdr:colOff>104774</xdr:colOff>
      <xdr:row>42</xdr:row>
      <xdr:rowOff>66675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8"/>
  <sheetViews>
    <sheetView workbookViewId="0">
      <selection activeCell="C4" sqref="C4"/>
    </sheetView>
  </sheetViews>
  <sheetFormatPr defaultRowHeight="12.75" x14ac:dyDescent="0.2"/>
  <cols>
    <col min="1" max="1" width="15.5703125" bestFit="1" customWidth="1"/>
  </cols>
  <sheetData>
    <row r="1" spans="1:3" x14ac:dyDescent="0.2">
      <c r="A1" s="37">
        <v>39524.540162037039</v>
      </c>
      <c r="B1" s="38" t="s">
        <v>40</v>
      </c>
      <c r="C1" s="38" t="s">
        <v>36</v>
      </c>
    </row>
    <row r="2" spans="1:3" x14ac:dyDescent="0.2">
      <c r="A2" s="37">
        <v>39524.543067129627</v>
      </c>
      <c r="B2" s="38" t="s">
        <v>41</v>
      </c>
      <c r="C2" s="38" t="s">
        <v>36</v>
      </c>
    </row>
    <row r="3" spans="1:3" x14ac:dyDescent="0.2">
      <c r="A3" s="37">
        <v>39524.654027777775</v>
      </c>
      <c r="B3" s="38" t="s">
        <v>41</v>
      </c>
      <c r="C3" s="38" t="s">
        <v>36</v>
      </c>
    </row>
    <row r="4" spans="1:3" x14ac:dyDescent="0.2">
      <c r="A4" s="37">
        <v>39524.674178240741</v>
      </c>
      <c r="B4" s="38" t="s">
        <v>42</v>
      </c>
      <c r="C4" s="38" t="s">
        <v>36</v>
      </c>
    </row>
    <row r="5" spans="1:3" x14ac:dyDescent="0.2">
      <c r="A5" s="37">
        <v>39524.674224537041</v>
      </c>
      <c r="B5" s="38" t="s">
        <v>42</v>
      </c>
      <c r="C5" s="38" t="s">
        <v>36</v>
      </c>
    </row>
    <row r="6" spans="1:3" x14ac:dyDescent="0.2">
      <c r="A6" s="46">
        <v>40500.448611111111</v>
      </c>
      <c r="B6" s="47" t="s">
        <v>43</v>
      </c>
      <c r="C6" s="47" t="s">
        <v>36</v>
      </c>
    </row>
    <row r="7" spans="1:3" x14ac:dyDescent="0.2">
      <c r="A7" s="46">
        <v>40500.448935185188</v>
      </c>
      <c r="B7" s="47" t="s">
        <v>43</v>
      </c>
      <c r="C7" s="47" t="s">
        <v>36</v>
      </c>
    </row>
    <row r="8" spans="1:3" x14ac:dyDescent="0.2">
      <c r="A8" s="37">
        <v>41596.521932870368</v>
      </c>
      <c r="B8" s="38" t="s">
        <v>45</v>
      </c>
      <c r="C8" s="38" t="s">
        <v>44</v>
      </c>
    </row>
    <row r="9" spans="1:3" x14ac:dyDescent="0.2">
      <c r="A9" s="37">
        <v>41596.521990740737</v>
      </c>
      <c r="B9" s="38" t="s">
        <v>45</v>
      </c>
      <c r="C9" s="38" t="s">
        <v>44</v>
      </c>
    </row>
    <row r="10" spans="1:3" x14ac:dyDescent="0.2">
      <c r="A10" s="37">
        <v>41596.522418981483</v>
      </c>
      <c r="B10" s="38" t="s">
        <v>45</v>
      </c>
      <c r="C10" s="38" t="s">
        <v>46</v>
      </c>
    </row>
    <row r="11" spans="1:3" x14ac:dyDescent="0.2">
      <c r="A11" s="37">
        <v>41597.669189814813</v>
      </c>
      <c r="B11" s="38" t="s">
        <v>47</v>
      </c>
      <c r="C11" s="38" t="s">
        <v>46</v>
      </c>
    </row>
    <row r="12" spans="1:3" x14ac:dyDescent="0.2">
      <c r="A12" s="37">
        <v>41597.733576388891</v>
      </c>
      <c r="B12" s="38" t="s">
        <v>47</v>
      </c>
      <c r="C12" s="38" t="s">
        <v>46</v>
      </c>
    </row>
    <row r="13" spans="1:3" x14ac:dyDescent="0.2">
      <c r="A13" s="37">
        <v>41597.761666666665</v>
      </c>
      <c r="B13" s="38" t="s">
        <v>47</v>
      </c>
      <c r="C13" s="38" t="s">
        <v>46</v>
      </c>
    </row>
    <row r="14" spans="1:3" x14ac:dyDescent="0.2">
      <c r="A14" s="37">
        <v>41597.777060185188</v>
      </c>
      <c r="B14" s="38" t="s">
        <v>47</v>
      </c>
      <c r="C14" s="38" t="s">
        <v>46</v>
      </c>
    </row>
    <row r="15" spans="1:3" x14ac:dyDescent="0.2">
      <c r="A15" s="37">
        <v>41597.777314814812</v>
      </c>
      <c r="B15" s="38" t="s">
        <v>47</v>
      </c>
      <c r="C15" s="38" t="s">
        <v>46</v>
      </c>
    </row>
    <row r="16" spans="1:3" x14ac:dyDescent="0.2">
      <c r="A16" s="37">
        <v>41597.779780092591</v>
      </c>
      <c r="B16" s="38" t="s">
        <v>47</v>
      </c>
      <c r="C16" s="38" t="s">
        <v>46</v>
      </c>
    </row>
    <row r="17" spans="1:3" x14ac:dyDescent="0.2">
      <c r="A17" s="37">
        <v>41597.786006944443</v>
      </c>
      <c r="B17" s="38" t="s">
        <v>47</v>
      </c>
      <c r="C17" s="38" t="s">
        <v>46</v>
      </c>
    </row>
    <row r="18" spans="1:3" x14ac:dyDescent="0.2">
      <c r="A18" s="37">
        <v>41597.793715277781</v>
      </c>
      <c r="B18" s="38" t="s">
        <v>47</v>
      </c>
      <c r="C18" s="38" t="s">
        <v>46</v>
      </c>
    </row>
    <row r="19" spans="1:3" x14ac:dyDescent="0.2">
      <c r="A19" s="37">
        <v>41597.794872685183</v>
      </c>
      <c r="B19" s="38" t="s">
        <v>47</v>
      </c>
      <c r="C19" s="38" t="s">
        <v>46</v>
      </c>
    </row>
    <row r="20" spans="1:3" x14ac:dyDescent="0.2">
      <c r="A20" s="37">
        <v>41597.796678240738</v>
      </c>
      <c r="B20" s="38" t="s">
        <v>47</v>
      </c>
      <c r="C20" s="38" t="s">
        <v>46</v>
      </c>
    </row>
    <row r="21" spans="1:3" x14ac:dyDescent="0.2">
      <c r="A21" s="37">
        <v>41597.798136574071</v>
      </c>
      <c r="B21" s="38" t="s">
        <v>47</v>
      </c>
      <c r="C21" s="38" t="s">
        <v>46</v>
      </c>
    </row>
    <row r="22" spans="1:3" x14ac:dyDescent="0.2">
      <c r="A22" s="64">
        <v>41597.803773148145</v>
      </c>
      <c r="B22" s="65" t="s">
        <v>47</v>
      </c>
      <c r="C22" s="65" t="s">
        <v>46</v>
      </c>
    </row>
    <row r="23" spans="1:3" x14ac:dyDescent="0.2">
      <c r="A23" s="37">
        <v>41598.393865740742</v>
      </c>
      <c r="B23" s="38" t="s">
        <v>47</v>
      </c>
      <c r="C23" s="38" t="s">
        <v>46</v>
      </c>
    </row>
    <row r="24" spans="1:3" x14ac:dyDescent="0.2">
      <c r="A24" s="37">
        <v>41598.404189814813</v>
      </c>
      <c r="B24" s="38" t="s">
        <v>47</v>
      </c>
      <c r="C24" s="38" t="s">
        <v>46</v>
      </c>
    </row>
    <row r="25" spans="1:3" x14ac:dyDescent="0.2">
      <c r="A25" s="37">
        <v>41599.768680555557</v>
      </c>
      <c r="B25" s="38" t="s">
        <v>47</v>
      </c>
      <c r="C25" s="38" t="s">
        <v>46</v>
      </c>
    </row>
    <row r="26" spans="1:3" x14ac:dyDescent="0.2">
      <c r="A26" s="37">
        <v>41599.784548611111</v>
      </c>
      <c r="B26" s="38" t="s">
        <v>47</v>
      </c>
      <c r="C26" s="38" t="s">
        <v>46</v>
      </c>
    </row>
    <row r="27" spans="1:3" x14ac:dyDescent="0.2">
      <c r="A27" s="37">
        <v>41599.784745370373</v>
      </c>
      <c r="B27" s="38" t="s">
        <v>47</v>
      </c>
      <c r="C27" s="38" t="s">
        <v>46</v>
      </c>
    </row>
    <row r="28" spans="1:3" x14ac:dyDescent="0.2">
      <c r="A28" s="37">
        <v>41599.785729166666</v>
      </c>
      <c r="B28" s="38" t="s">
        <v>47</v>
      </c>
      <c r="C28" s="38" t="s">
        <v>46</v>
      </c>
    </row>
    <row r="29" spans="1:3" x14ac:dyDescent="0.2">
      <c r="A29" s="37">
        <v>41599.786215277774</v>
      </c>
      <c r="B29" s="38" t="s">
        <v>47</v>
      </c>
      <c r="C29" s="38" t="s">
        <v>46</v>
      </c>
    </row>
    <row r="30" spans="1:3" x14ac:dyDescent="0.2">
      <c r="A30" s="37">
        <v>41599.793599537035</v>
      </c>
      <c r="B30" s="38" t="s">
        <v>47</v>
      </c>
      <c r="C30" s="38" t="s">
        <v>46</v>
      </c>
    </row>
    <row r="31" spans="1:3" x14ac:dyDescent="0.2">
      <c r="A31" s="37">
        <v>41599.794444444444</v>
      </c>
      <c r="B31" s="38" t="s">
        <v>47</v>
      </c>
      <c r="C31" s="38" t="s">
        <v>46</v>
      </c>
    </row>
    <row r="32" spans="1:3" x14ac:dyDescent="0.2">
      <c r="A32" s="37">
        <v>41599.795405092591</v>
      </c>
      <c r="B32" s="38" t="s">
        <v>47</v>
      </c>
      <c r="C32" s="38" t="s">
        <v>46</v>
      </c>
    </row>
    <row r="33" spans="1:3" x14ac:dyDescent="0.2">
      <c r="A33" s="37">
        <v>41599.798622685186</v>
      </c>
      <c r="B33" s="38" t="s">
        <v>47</v>
      </c>
      <c r="C33" s="38" t="s">
        <v>46</v>
      </c>
    </row>
    <row r="34" spans="1:3" x14ac:dyDescent="0.2">
      <c r="A34" s="37">
        <v>41599.798842592594</v>
      </c>
      <c r="B34" s="38" t="s">
        <v>47</v>
      </c>
      <c r="C34" s="38" t="s">
        <v>46</v>
      </c>
    </row>
    <row r="35" spans="1:3" x14ac:dyDescent="0.2">
      <c r="A35" s="37">
        <v>41599.809548611112</v>
      </c>
      <c r="B35" s="38" t="s">
        <v>47</v>
      </c>
      <c r="C35" s="38" t="s">
        <v>46</v>
      </c>
    </row>
    <row r="36" spans="1:3" x14ac:dyDescent="0.2">
      <c r="A36" s="37">
        <v>41603.495416666665</v>
      </c>
      <c r="B36" s="38" t="s">
        <v>47</v>
      </c>
      <c r="C36" s="38" t="s">
        <v>46</v>
      </c>
    </row>
    <row r="37" spans="1:3" x14ac:dyDescent="0.2">
      <c r="A37" s="37">
        <v>41603.498923611114</v>
      </c>
      <c r="B37" s="38" t="s">
        <v>47</v>
      </c>
      <c r="C37" s="38" t="s">
        <v>46</v>
      </c>
    </row>
    <row r="38" spans="1:3" x14ac:dyDescent="0.2">
      <c r="A38" s="37">
        <v>41603.499120370368</v>
      </c>
      <c r="B38" s="38" t="s">
        <v>47</v>
      </c>
      <c r="C38" s="38" t="s">
        <v>46</v>
      </c>
    </row>
    <row r="39" spans="1:3" x14ac:dyDescent="0.2">
      <c r="A39" s="37">
        <v>41603.500243055554</v>
      </c>
      <c r="B39" s="38" t="s">
        <v>47</v>
      </c>
      <c r="C39" s="38" t="s">
        <v>46</v>
      </c>
    </row>
    <row r="40" spans="1:3" x14ac:dyDescent="0.2">
      <c r="A40" s="37">
        <v>41603.500358796293</v>
      </c>
      <c r="B40" s="38" t="s">
        <v>47</v>
      </c>
      <c r="C40" s="38" t="s">
        <v>46</v>
      </c>
    </row>
    <row r="41" spans="1:3" x14ac:dyDescent="0.2">
      <c r="A41" s="37">
        <v>41603.50072916667</v>
      </c>
      <c r="B41" s="38" t="s">
        <v>47</v>
      </c>
      <c r="C41" s="38" t="s">
        <v>46</v>
      </c>
    </row>
    <row r="42" spans="1:3" x14ac:dyDescent="0.2">
      <c r="A42" s="37">
        <v>41603.500787037039</v>
      </c>
      <c r="B42" s="38" t="s">
        <v>47</v>
      </c>
      <c r="C42" s="38" t="s">
        <v>46</v>
      </c>
    </row>
    <row r="43" spans="1:3" x14ac:dyDescent="0.2">
      <c r="A43" s="37">
        <v>41603.500868055555</v>
      </c>
      <c r="B43" s="38" t="s">
        <v>47</v>
      </c>
      <c r="C43" s="38" t="s">
        <v>46</v>
      </c>
    </row>
    <row r="44" spans="1:3" x14ac:dyDescent="0.2">
      <c r="A44" s="37">
        <v>41603.501585648148</v>
      </c>
      <c r="B44" s="38" t="s">
        <v>47</v>
      </c>
      <c r="C44" s="38" t="s">
        <v>46</v>
      </c>
    </row>
    <row r="45" spans="1:3" x14ac:dyDescent="0.2">
      <c r="A45" s="37">
        <v>41603.502442129633</v>
      </c>
      <c r="B45" s="38" t="s">
        <v>47</v>
      </c>
      <c r="C45" s="38" t="s">
        <v>46</v>
      </c>
    </row>
    <row r="46" spans="1:3" x14ac:dyDescent="0.2">
      <c r="A46" s="37">
        <v>41603.502511574072</v>
      </c>
      <c r="B46" s="38" t="s">
        <v>47</v>
      </c>
      <c r="C46" s="38" t="s">
        <v>46</v>
      </c>
    </row>
    <row r="47" spans="1:3" x14ac:dyDescent="0.2">
      <c r="A47" s="37">
        <v>41603.503182870372</v>
      </c>
      <c r="B47" s="38" t="s">
        <v>47</v>
      </c>
      <c r="C47" s="38" t="s">
        <v>46</v>
      </c>
    </row>
    <row r="48" spans="1:3" x14ac:dyDescent="0.2">
      <c r="A48" s="37">
        <v>41603.514872685184</v>
      </c>
      <c r="B48" s="38" t="s">
        <v>47</v>
      </c>
      <c r="C48" s="38" t="s">
        <v>46</v>
      </c>
    </row>
    <row r="49" spans="1:3" x14ac:dyDescent="0.2">
      <c r="A49" s="37">
        <v>41603.5159375</v>
      </c>
      <c r="B49" s="38" t="s">
        <v>47</v>
      </c>
      <c r="C49" s="38" t="s">
        <v>46</v>
      </c>
    </row>
    <row r="50" spans="1:3" x14ac:dyDescent="0.2">
      <c r="A50" s="37">
        <v>41603.51666666667</v>
      </c>
      <c r="B50" s="38" t="s">
        <v>47</v>
      </c>
      <c r="C50" s="38" t="s">
        <v>46</v>
      </c>
    </row>
    <row r="51" spans="1:3" x14ac:dyDescent="0.2">
      <c r="A51" s="37">
        <v>41603.517164351855</v>
      </c>
      <c r="B51" s="38" t="s">
        <v>47</v>
      </c>
      <c r="C51" s="38" t="s">
        <v>46</v>
      </c>
    </row>
    <row r="52" spans="1:3" x14ac:dyDescent="0.2">
      <c r="A52" s="37">
        <v>41603.517430555556</v>
      </c>
      <c r="B52" s="38" t="s">
        <v>47</v>
      </c>
      <c r="C52" s="38" t="s">
        <v>46</v>
      </c>
    </row>
    <row r="53" spans="1:3" x14ac:dyDescent="0.2">
      <c r="A53" s="37">
        <v>41603.517465277779</v>
      </c>
      <c r="B53" s="38" t="s">
        <v>47</v>
      </c>
      <c r="C53" s="38" t="s">
        <v>46</v>
      </c>
    </row>
    <row r="54" spans="1:3" x14ac:dyDescent="0.2">
      <c r="A54" s="37">
        <v>41603.804166666669</v>
      </c>
      <c r="B54" s="38" t="s">
        <v>47</v>
      </c>
      <c r="C54" s="38" t="s">
        <v>46</v>
      </c>
    </row>
    <row r="55" spans="1:3" x14ac:dyDescent="0.2">
      <c r="A55" s="37">
        <v>41603.805393518516</v>
      </c>
      <c r="B55" s="38" t="s">
        <v>47</v>
      </c>
      <c r="C55" s="38" t="s">
        <v>46</v>
      </c>
    </row>
    <row r="56" spans="1:3" x14ac:dyDescent="0.2">
      <c r="A56" s="81">
        <v>41604.403611111113</v>
      </c>
      <c r="B56" s="82" t="s">
        <v>47</v>
      </c>
      <c r="C56" s="82" t="s">
        <v>46</v>
      </c>
    </row>
    <row r="57" spans="1:3" x14ac:dyDescent="0.2">
      <c r="A57" s="81">
        <v>41604.40384259259</v>
      </c>
      <c r="B57" s="82" t="s">
        <v>47</v>
      </c>
      <c r="C57" s="82" t="s">
        <v>46</v>
      </c>
    </row>
    <row r="58" spans="1:3" x14ac:dyDescent="0.2">
      <c r="A58" s="81">
        <v>41604.407766203702</v>
      </c>
      <c r="B58" s="82" t="s">
        <v>47</v>
      </c>
      <c r="C58" s="82" t="s">
        <v>46</v>
      </c>
    </row>
    <row r="59" spans="1:3" x14ac:dyDescent="0.2">
      <c r="A59" s="81">
        <v>41604.408310185187</v>
      </c>
      <c r="B59" s="82" t="s">
        <v>47</v>
      </c>
      <c r="C59" s="82" t="s">
        <v>46</v>
      </c>
    </row>
    <row r="60" spans="1:3" x14ac:dyDescent="0.2">
      <c r="A60" s="81">
        <v>41604.408784722225</v>
      </c>
      <c r="B60" s="82" t="s">
        <v>47</v>
      </c>
      <c r="C60" s="82" t="s">
        <v>46</v>
      </c>
    </row>
    <row r="61" spans="1:3" x14ac:dyDescent="0.2">
      <c r="A61" s="81">
        <v>41604.408842592595</v>
      </c>
      <c r="B61" s="82" t="s">
        <v>47</v>
      </c>
      <c r="C61" s="82" t="s">
        <v>46</v>
      </c>
    </row>
    <row r="62" spans="1:3" x14ac:dyDescent="0.2">
      <c r="A62" s="81">
        <v>41604.409884259258</v>
      </c>
      <c r="B62" s="82" t="s">
        <v>47</v>
      </c>
      <c r="C62" s="82" t="s">
        <v>46</v>
      </c>
    </row>
    <row r="63" spans="1:3" x14ac:dyDescent="0.2">
      <c r="A63" s="81">
        <v>41604.410115740742</v>
      </c>
      <c r="B63" s="82" t="s">
        <v>47</v>
      </c>
      <c r="C63" s="82" t="s">
        <v>46</v>
      </c>
    </row>
    <row r="64" spans="1:3" x14ac:dyDescent="0.2">
      <c r="A64" s="81">
        <v>41604.410312499997</v>
      </c>
      <c r="B64" s="82" t="s">
        <v>47</v>
      </c>
      <c r="C64" s="82" t="s">
        <v>46</v>
      </c>
    </row>
    <row r="65" spans="1:3" x14ac:dyDescent="0.2">
      <c r="A65" s="81">
        <v>41604.41128472222</v>
      </c>
      <c r="B65" s="82" t="s">
        <v>47</v>
      </c>
      <c r="C65" s="82" t="s">
        <v>46</v>
      </c>
    </row>
    <row r="66" spans="1:3" x14ac:dyDescent="0.2">
      <c r="A66" s="81">
        <v>41604.412280092591</v>
      </c>
      <c r="B66" s="82" t="s">
        <v>47</v>
      </c>
      <c r="C66" s="82" t="s">
        <v>46</v>
      </c>
    </row>
    <row r="67" spans="1:3" x14ac:dyDescent="0.2">
      <c r="A67" s="81">
        <v>41604.412534722222</v>
      </c>
      <c r="B67" s="82" t="s">
        <v>47</v>
      </c>
      <c r="C67" s="82" t="s">
        <v>46</v>
      </c>
    </row>
    <row r="68" spans="1:3" x14ac:dyDescent="0.2">
      <c r="A68" s="81">
        <v>41604.412847222222</v>
      </c>
      <c r="B68" s="82" t="s">
        <v>47</v>
      </c>
      <c r="C68" s="82" t="s">
        <v>46</v>
      </c>
    </row>
    <row r="69" spans="1:3" x14ac:dyDescent="0.2">
      <c r="A69" s="81">
        <v>41604.412962962961</v>
      </c>
      <c r="B69" s="82" t="s">
        <v>47</v>
      </c>
      <c r="C69" s="82" t="s">
        <v>46</v>
      </c>
    </row>
    <row r="70" spans="1:3" x14ac:dyDescent="0.2">
      <c r="A70" s="81">
        <v>41604.413043981483</v>
      </c>
      <c r="B70" s="82" t="s">
        <v>47</v>
      </c>
      <c r="C70" s="82" t="s">
        <v>46</v>
      </c>
    </row>
    <row r="71" spans="1:3" x14ac:dyDescent="0.2">
      <c r="A71" s="81">
        <v>41604.41337962963</v>
      </c>
      <c r="B71" s="82" t="s">
        <v>47</v>
      </c>
      <c r="C71" s="82" t="s">
        <v>46</v>
      </c>
    </row>
    <row r="72" spans="1:3" x14ac:dyDescent="0.2">
      <c r="A72" s="81">
        <v>41604.413726851853</v>
      </c>
      <c r="B72" s="82" t="s">
        <v>47</v>
      </c>
      <c r="C72" s="82" t="s">
        <v>46</v>
      </c>
    </row>
    <row r="73" spans="1:3" x14ac:dyDescent="0.2">
      <c r="A73" s="81">
        <v>41604.413888888892</v>
      </c>
      <c r="B73" s="82" t="s">
        <v>47</v>
      </c>
      <c r="C73" s="82" t="s">
        <v>46</v>
      </c>
    </row>
    <row r="74" spans="1:3" x14ac:dyDescent="0.2">
      <c r="A74" s="81">
        <v>41604.414247685185</v>
      </c>
      <c r="B74" s="82" t="s">
        <v>47</v>
      </c>
      <c r="C74" s="82" t="s">
        <v>46</v>
      </c>
    </row>
    <row r="75" spans="1:3" x14ac:dyDescent="0.2">
      <c r="A75" s="81">
        <v>41604.414733796293</v>
      </c>
      <c r="B75" s="82" t="s">
        <v>47</v>
      </c>
      <c r="C75" s="82" t="s">
        <v>46</v>
      </c>
    </row>
    <row r="76" spans="1:3" x14ac:dyDescent="0.2">
      <c r="A76" s="81">
        <v>41604.41511574074</v>
      </c>
      <c r="B76" s="82" t="s">
        <v>47</v>
      </c>
      <c r="C76" s="82" t="s">
        <v>46</v>
      </c>
    </row>
    <row r="77" spans="1:3" x14ac:dyDescent="0.2">
      <c r="A77" s="81">
        <v>42148.621712962966</v>
      </c>
      <c r="B77" s="82" t="s">
        <v>47</v>
      </c>
      <c r="C77" s="82" t="s">
        <v>46</v>
      </c>
    </row>
    <row r="78" spans="1:3" x14ac:dyDescent="0.2">
      <c r="A78" s="81">
        <v>42148.628831018519</v>
      </c>
      <c r="B78" s="82" t="s">
        <v>47</v>
      </c>
      <c r="C78" s="82" t="s">
        <v>46</v>
      </c>
    </row>
  </sheetData>
  <phoneticPr fontId="8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M268"/>
  <sheetViews>
    <sheetView tabSelected="1" workbookViewId="0">
      <selection activeCell="E91" sqref="E91"/>
    </sheetView>
  </sheetViews>
  <sheetFormatPr defaultColWidth="9" defaultRowHeight="12.75" x14ac:dyDescent="0.2"/>
  <cols>
    <col min="1" max="1" width="17.140625" customWidth="1"/>
    <col min="2" max="2" width="12" bestFit="1" customWidth="1"/>
    <col min="6" max="6" width="9" customWidth="1"/>
    <col min="7" max="7" width="12.42578125" customWidth="1"/>
    <col min="8" max="9" width="13.140625" customWidth="1"/>
    <col min="10" max="10" width="13.140625" bestFit="1" customWidth="1"/>
    <col min="11" max="11" width="9.140625" bestFit="1" customWidth="1"/>
    <col min="15" max="15" width="14.42578125" customWidth="1"/>
  </cols>
  <sheetData>
    <row r="1" spans="1:12" ht="18.75" thickBot="1" x14ac:dyDescent="0.3">
      <c r="A1" s="39" t="s">
        <v>46</v>
      </c>
      <c r="J1" s="41" t="s">
        <v>33</v>
      </c>
    </row>
    <row r="2" spans="1:12" ht="21" thickTop="1" x14ac:dyDescent="0.3">
      <c r="A2" s="1"/>
      <c r="J2" s="32" t="s">
        <v>3</v>
      </c>
      <c r="K2" s="33">
        <f t="shared" ref="K2:K8" si="0">VLOOKUP(J2, $A$46:$E$78, 3)</f>
        <v>0</v>
      </c>
      <c r="L2" s="34">
        <f t="shared" ref="L2:L8" si="1">VLOOKUP(J2, $A$46:$E$78,  2)</f>
        <v>0</v>
      </c>
    </row>
    <row r="3" spans="1:12" ht="13.5" thickBot="1" x14ac:dyDescent="0.25">
      <c r="J3" s="35" t="s">
        <v>25</v>
      </c>
      <c r="K3" s="4">
        <f t="shared" si="0"/>
        <v>0</v>
      </c>
      <c r="L3" s="36">
        <f t="shared" si="1"/>
        <v>200</v>
      </c>
    </row>
    <row r="4" spans="1:12" ht="15.75" x14ac:dyDescent="0.25">
      <c r="A4" s="22"/>
      <c r="B4" s="9"/>
      <c r="C4" s="9"/>
      <c r="D4" s="25" t="s">
        <v>20</v>
      </c>
      <c r="E4" s="9"/>
      <c r="F4" s="9"/>
      <c r="G4" s="10"/>
      <c r="J4" s="35" t="s">
        <v>26</v>
      </c>
      <c r="K4" s="4">
        <f t="shared" si="0"/>
        <v>280</v>
      </c>
      <c r="L4" s="36">
        <f t="shared" si="1"/>
        <v>200</v>
      </c>
    </row>
    <row r="5" spans="1:12" x14ac:dyDescent="0.2">
      <c r="A5" s="23"/>
      <c r="B5" s="4"/>
      <c r="C5" s="4"/>
      <c r="D5" s="4"/>
      <c r="E5" s="4"/>
      <c r="F5" s="4"/>
      <c r="G5" s="6"/>
      <c r="J5" s="35" t="s">
        <v>0</v>
      </c>
      <c r="K5" s="4">
        <f t="shared" si="0"/>
        <v>280</v>
      </c>
      <c r="L5" s="36">
        <f t="shared" si="1"/>
        <v>140</v>
      </c>
    </row>
    <row r="6" spans="1:12" x14ac:dyDescent="0.2">
      <c r="A6" s="5"/>
      <c r="B6" s="4"/>
      <c r="C6" s="4"/>
      <c r="D6" s="4" t="s">
        <v>18</v>
      </c>
      <c r="E6" s="4"/>
      <c r="F6" s="4"/>
      <c r="G6" s="6"/>
      <c r="J6" s="35" t="s">
        <v>22</v>
      </c>
      <c r="K6" s="4">
        <f t="shared" si="0"/>
        <v>700</v>
      </c>
      <c r="L6" s="36">
        <f t="shared" si="1"/>
        <v>140</v>
      </c>
    </row>
    <row r="7" spans="1:12" x14ac:dyDescent="0.2">
      <c r="A7" s="16"/>
      <c r="B7" s="12"/>
      <c r="C7" s="4"/>
      <c r="D7" s="12" t="s">
        <v>16</v>
      </c>
      <c r="E7" s="17" t="s">
        <v>17</v>
      </c>
      <c r="F7" s="12" t="s">
        <v>2</v>
      </c>
      <c r="G7" s="6"/>
      <c r="J7" s="35" t="s">
        <v>21</v>
      </c>
      <c r="K7" s="4">
        <f t="shared" si="0"/>
        <v>700</v>
      </c>
      <c r="L7" s="36">
        <f t="shared" si="1"/>
        <v>0</v>
      </c>
    </row>
    <row r="8" spans="1:12" x14ac:dyDescent="0.2">
      <c r="A8" s="16"/>
      <c r="B8" s="12"/>
      <c r="C8" s="4"/>
      <c r="D8" s="12">
        <f>3*MAX(B53,C53)</f>
        <v>2100</v>
      </c>
      <c r="E8" s="66">
        <v>14.799999999999981</v>
      </c>
      <c r="F8" s="12">
        <f>8*D53</f>
        <v>4000</v>
      </c>
      <c r="G8" s="6"/>
      <c r="J8" s="35" t="s">
        <v>3</v>
      </c>
      <c r="K8" s="4">
        <f t="shared" si="0"/>
        <v>0</v>
      </c>
      <c r="L8" s="36">
        <f t="shared" si="1"/>
        <v>0</v>
      </c>
    </row>
    <row r="9" spans="1:12" x14ac:dyDescent="0.2">
      <c r="A9" s="16"/>
      <c r="B9" s="12"/>
      <c r="C9" s="4"/>
      <c r="D9" s="18"/>
      <c r="E9" s="12"/>
      <c r="F9" s="4"/>
      <c r="G9" s="6"/>
      <c r="J9" s="35"/>
      <c r="K9" s="4"/>
      <c r="L9" s="36"/>
    </row>
    <row r="10" spans="1:12" x14ac:dyDescent="0.2">
      <c r="A10" s="16"/>
      <c r="B10" s="19"/>
      <c r="C10" s="4"/>
      <c r="D10" s="4" t="s">
        <v>19</v>
      </c>
      <c r="E10" s="4"/>
      <c r="F10" s="4"/>
      <c r="G10" s="6"/>
      <c r="J10" s="35" t="s">
        <v>16</v>
      </c>
      <c r="K10" s="4">
        <f t="shared" ref="K10:K16" si="2">VLOOKUP(J10, $A$46:$E$78, 3)</f>
        <v>0</v>
      </c>
      <c r="L10" s="36">
        <f t="shared" ref="L10:L16" si="3">VLOOKUP(J10, $A$46:$E$78,  2)</f>
        <v>40</v>
      </c>
    </row>
    <row r="11" spans="1:12" x14ac:dyDescent="0.2">
      <c r="A11" s="16"/>
      <c r="B11" s="4"/>
      <c r="C11" s="4"/>
      <c r="D11" s="12" t="s">
        <v>0</v>
      </c>
      <c r="E11" s="12" t="s">
        <v>1</v>
      </c>
      <c r="F11" s="12" t="s">
        <v>2</v>
      </c>
      <c r="G11" s="6"/>
      <c r="J11" s="35" t="s">
        <v>24</v>
      </c>
      <c r="K11" s="4">
        <f t="shared" si="2"/>
        <v>0</v>
      </c>
      <c r="L11" s="36">
        <f t="shared" si="3"/>
        <v>200</v>
      </c>
    </row>
    <row r="12" spans="1:12" ht="13.5" thickBot="1" x14ac:dyDescent="0.25">
      <c r="A12" s="24"/>
      <c r="B12" s="7"/>
      <c r="C12" s="7"/>
      <c r="D12" s="14">
        <f>D8*COS(E8)</f>
        <v>-1292.2402142048813</v>
      </c>
      <c r="E12" s="14">
        <f>D8*SIN(E8)</f>
        <v>1655.3293414881894</v>
      </c>
      <c r="F12" s="14">
        <f>F8</f>
        <v>4000</v>
      </c>
      <c r="G12" s="8"/>
      <c r="J12" s="35" t="s">
        <v>27</v>
      </c>
      <c r="K12" s="4">
        <f t="shared" si="2"/>
        <v>280</v>
      </c>
      <c r="L12" s="36">
        <f t="shared" si="3"/>
        <v>200</v>
      </c>
    </row>
    <row r="13" spans="1:12" x14ac:dyDescent="0.2">
      <c r="A13" s="4"/>
      <c r="B13" s="18"/>
      <c r="C13" s="4"/>
      <c r="D13" s="18"/>
      <c r="E13" s="4"/>
      <c r="F13" s="4"/>
      <c r="G13" s="4"/>
      <c r="J13" s="35" t="s">
        <v>28</v>
      </c>
      <c r="K13" s="4">
        <f t="shared" si="2"/>
        <v>280</v>
      </c>
      <c r="L13" s="36">
        <f t="shared" si="3"/>
        <v>140</v>
      </c>
    </row>
    <row r="14" spans="1:12" x14ac:dyDescent="0.2">
      <c r="B14" s="3"/>
      <c r="D14" s="3"/>
      <c r="J14" s="35" t="s">
        <v>23</v>
      </c>
      <c r="K14" s="4">
        <f t="shared" si="2"/>
        <v>700</v>
      </c>
      <c r="L14" s="36">
        <f t="shared" si="3"/>
        <v>140</v>
      </c>
    </row>
    <row r="15" spans="1:12" x14ac:dyDescent="0.2">
      <c r="B15" s="3"/>
      <c r="D15" s="3"/>
      <c r="J15" s="35" t="s">
        <v>17</v>
      </c>
      <c r="K15" s="4">
        <f t="shared" si="2"/>
        <v>700</v>
      </c>
      <c r="L15" s="36">
        <f t="shared" si="3"/>
        <v>40</v>
      </c>
    </row>
    <row r="16" spans="1:12" x14ac:dyDescent="0.2">
      <c r="B16" s="3"/>
      <c r="D16" s="3"/>
      <c r="J16" s="35" t="s">
        <v>16</v>
      </c>
      <c r="K16" s="4">
        <f t="shared" si="2"/>
        <v>0</v>
      </c>
      <c r="L16" s="36">
        <f t="shared" si="3"/>
        <v>40</v>
      </c>
    </row>
    <row r="17" spans="4:12" ht="14.45" customHeight="1" x14ac:dyDescent="0.2">
      <c r="D17" s="3"/>
      <c r="J17" s="35"/>
      <c r="K17" s="4"/>
      <c r="L17" s="36"/>
    </row>
    <row r="18" spans="4:12" x14ac:dyDescent="0.2">
      <c r="J18" s="35" t="s">
        <v>6</v>
      </c>
      <c r="K18" s="4">
        <f>VLOOKUP(J18, $A$46:$E$78, 3)</f>
        <v>0</v>
      </c>
      <c r="L18" s="36">
        <f>VLOOKUP(J18, $A$46:$E$78,  2)</f>
        <v>0</v>
      </c>
    </row>
    <row r="19" spans="4:12" x14ac:dyDescent="0.2">
      <c r="J19" s="35" t="s">
        <v>7</v>
      </c>
      <c r="K19" s="4">
        <f>VLOOKUP(J19, $A$46:$E$78, 3)</f>
        <v>0</v>
      </c>
      <c r="L19" s="36">
        <f>VLOOKUP(J19, $A$46:$E$78,  2)</f>
        <v>40</v>
      </c>
    </row>
    <row r="20" spans="4:12" x14ac:dyDescent="0.2">
      <c r="J20" s="35" t="s">
        <v>8</v>
      </c>
      <c r="K20" s="4">
        <f>VLOOKUP(J20, $A$46:$E$78, 3)</f>
        <v>210</v>
      </c>
      <c r="L20" s="36">
        <f>VLOOKUP(J20, $A$46:$E$78,  2)</f>
        <v>40</v>
      </c>
    </row>
    <row r="21" spans="4:12" x14ac:dyDescent="0.2">
      <c r="J21" s="35" t="s">
        <v>10</v>
      </c>
      <c r="K21" s="4">
        <f>VLOOKUP(J21, $A$46:$E$78, 3)</f>
        <v>210</v>
      </c>
      <c r="L21" s="36">
        <f>VLOOKUP(J21, $A$46:$E$78,  2)</f>
        <v>0</v>
      </c>
    </row>
    <row r="22" spans="4:12" x14ac:dyDescent="0.2">
      <c r="J22" s="35" t="s">
        <v>6</v>
      </c>
      <c r="K22" s="4">
        <f>VLOOKUP(J22, $A$46:$E$78, 3)</f>
        <v>0</v>
      </c>
      <c r="L22" s="36">
        <f>VLOOKUP(J22, $A$46:$E$78,  2)</f>
        <v>0</v>
      </c>
    </row>
    <row r="23" spans="4:12" x14ac:dyDescent="0.2">
      <c r="J23" s="35"/>
      <c r="K23" s="4"/>
      <c r="L23" s="36"/>
    </row>
    <row r="24" spans="4:12" x14ac:dyDescent="0.2">
      <c r="J24" s="35" t="s">
        <v>13</v>
      </c>
      <c r="K24" s="4">
        <f>VLOOKUP(J24, $A$46:$E$78, 3)</f>
        <v>489.99999999999994</v>
      </c>
      <c r="L24" s="36">
        <f>VLOOKUP(J24, $A$46:$E$78,  2)</f>
        <v>40</v>
      </c>
    </row>
    <row r="25" spans="4:12" x14ac:dyDescent="0.2">
      <c r="J25" s="35" t="s">
        <v>14</v>
      </c>
      <c r="K25" s="4">
        <f>VLOOKUP(J25, $A$46:$E$78, 3)</f>
        <v>700</v>
      </c>
      <c r="L25" s="36">
        <f>VLOOKUP(J25, $A$46:$E$78,  2)</f>
        <v>40</v>
      </c>
    </row>
    <row r="26" spans="4:12" x14ac:dyDescent="0.2">
      <c r="J26" s="35" t="s">
        <v>15</v>
      </c>
      <c r="K26" s="4">
        <f>VLOOKUP(J26, $A$46:$E$78, 3)</f>
        <v>700</v>
      </c>
      <c r="L26" s="36">
        <f>VLOOKUP(J26, $A$46:$E$78,  2)</f>
        <v>0</v>
      </c>
    </row>
    <row r="27" spans="4:12" x14ac:dyDescent="0.2">
      <c r="J27" s="35" t="s">
        <v>4</v>
      </c>
      <c r="K27" s="4">
        <f>VLOOKUP(J27, $A$46:$E$78, 3)</f>
        <v>489.99999999999994</v>
      </c>
      <c r="L27" s="36">
        <f>VLOOKUP(J27, $A$46:$E$78,  2)</f>
        <v>0</v>
      </c>
    </row>
    <row r="28" spans="4:12" x14ac:dyDescent="0.2">
      <c r="J28" s="35" t="s">
        <v>13</v>
      </c>
      <c r="K28" s="4">
        <f>VLOOKUP(J28, $A$46:$E$78, 3)</f>
        <v>489.99999999999994</v>
      </c>
      <c r="L28" s="36">
        <f>VLOOKUP(J28, $A$46:$E$78,  2)</f>
        <v>40</v>
      </c>
    </row>
    <row r="29" spans="4:12" x14ac:dyDescent="0.2">
      <c r="J29" s="35"/>
      <c r="K29" s="4"/>
      <c r="L29" s="36"/>
    </row>
    <row r="30" spans="4:12" ht="15" x14ac:dyDescent="0.25">
      <c r="F30" s="77" t="str">
        <f>IF(G244 &gt; 0, "VISIBLE", "NOT VISIBLE")</f>
        <v>NOT VISIBLE</v>
      </c>
      <c r="J30" s="35" t="s">
        <v>12</v>
      </c>
      <c r="K30" s="4">
        <f>VLOOKUP(J30, $A$46:$E$78, 3)</f>
        <v>489.99999999999994</v>
      </c>
      <c r="L30" s="36">
        <f>VLOOKUP(J30, $A$46:$E$78,  2)</f>
        <v>40</v>
      </c>
    </row>
    <row r="31" spans="4:12" x14ac:dyDescent="0.2">
      <c r="J31" s="35" t="s">
        <v>29</v>
      </c>
      <c r="K31" s="4">
        <f>VLOOKUP(J31, $A$46:$E$78, 3)</f>
        <v>489.99999999999994</v>
      </c>
      <c r="L31" s="36">
        <f>VLOOKUP(J31, $A$46:$E$78,  2)</f>
        <v>0</v>
      </c>
    </row>
    <row r="32" spans="4:12" x14ac:dyDescent="0.2">
      <c r="J32" s="35" t="s">
        <v>9</v>
      </c>
      <c r="K32" s="4">
        <f>VLOOKUP(J32, $A$46:$E$78, 3)</f>
        <v>210</v>
      </c>
      <c r="L32" s="36">
        <f>VLOOKUP(J32, $A$46:$E$78,  2)</f>
        <v>0</v>
      </c>
    </row>
    <row r="33" spans="1:12" x14ac:dyDescent="0.2">
      <c r="J33" s="35" t="s">
        <v>5</v>
      </c>
      <c r="K33" s="4">
        <f>VLOOKUP(J33, $A$46:$E$78, 3)</f>
        <v>210</v>
      </c>
      <c r="L33" s="36">
        <f>VLOOKUP(J33, $A$46:$E$78,  2)</f>
        <v>40</v>
      </c>
    </row>
    <row r="34" spans="1:12" x14ac:dyDescent="0.2">
      <c r="J34" s="35" t="s">
        <v>12</v>
      </c>
      <c r="K34" s="4">
        <f>VLOOKUP(J34, $A$46:$E$78, 3)</f>
        <v>489.99999999999994</v>
      </c>
      <c r="L34" s="36">
        <f>VLOOKUP(J34, $A$46:$E$78,  2)</f>
        <v>40</v>
      </c>
    </row>
    <row r="35" spans="1:12" x14ac:dyDescent="0.2">
      <c r="J35" s="35"/>
      <c r="K35" s="4"/>
      <c r="L35" s="36"/>
    </row>
    <row r="36" spans="1:12" x14ac:dyDescent="0.2">
      <c r="J36" s="35" t="s">
        <v>6</v>
      </c>
      <c r="K36" s="4">
        <f t="shared" ref="K36:K44" si="4">VLOOKUP(J36, $A$46:$E$78, 3)</f>
        <v>0</v>
      </c>
      <c r="L36" s="36">
        <f t="shared" ref="L36:L44" si="5">VLOOKUP(J36, $A$46:$E$78,  2)</f>
        <v>0</v>
      </c>
    </row>
    <row r="37" spans="1:12" x14ac:dyDescent="0.2">
      <c r="J37" s="35" t="s">
        <v>3</v>
      </c>
      <c r="K37" s="4">
        <f t="shared" si="4"/>
        <v>0</v>
      </c>
      <c r="L37" s="36">
        <f t="shared" si="5"/>
        <v>0</v>
      </c>
    </row>
    <row r="38" spans="1:12" x14ac:dyDescent="0.2">
      <c r="J38" s="35" t="s">
        <v>21</v>
      </c>
      <c r="K38" s="4">
        <f t="shared" si="4"/>
        <v>700</v>
      </c>
      <c r="L38" s="36">
        <f t="shared" si="5"/>
        <v>0</v>
      </c>
    </row>
    <row r="39" spans="1:12" x14ac:dyDescent="0.2">
      <c r="J39" s="35" t="s">
        <v>15</v>
      </c>
      <c r="K39" s="4">
        <f t="shared" si="4"/>
        <v>700</v>
      </c>
      <c r="L39" s="36">
        <f t="shared" si="5"/>
        <v>0</v>
      </c>
    </row>
    <row r="40" spans="1:12" x14ac:dyDescent="0.2">
      <c r="J40" s="35" t="s">
        <v>4</v>
      </c>
      <c r="K40" s="4">
        <f t="shared" si="4"/>
        <v>489.99999999999994</v>
      </c>
      <c r="L40" s="36">
        <f t="shared" si="5"/>
        <v>0</v>
      </c>
    </row>
    <row r="41" spans="1:12" x14ac:dyDescent="0.2">
      <c r="J41" s="35" t="s">
        <v>29</v>
      </c>
      <c r="K41" s="4">
        <f t="shared" si="4"/>
        <v>489.99999999999994</v>
      </c>
      <c r="L41" s="36">
        <f t="shared" si="5"/>
        <v>0</v>
      </c>
    </row>
    <row r="42" spans="1:12" x14ac:dyDescent="0.2">
      <c r="J42" s="35" t="s">
        <v>9</v>
      </c>
      <c r="K42" s="4">
        <f t="shared" si="4"/>
        <v>210</v>
      </c>
      <c r="L42" s="36">
        <f t="shared" si="5"/>
        <v>0</v>
      </c>
    </row>
    <row r="43" spans="1:12" x14ac:dyDescent="0.2">
      <c r="J43" s="35" t="s">
        <v>10</v>
      </c>
      <c r="K43" s="4">
        <f t="shared" si="4"/>
        <v>210</v>
      </c>
      <c r="L43" s="36">
        <f t="shared" si="5"/>
        <v>0</v>
      </c>
    </row>
    <row r="44" spans="1:12" x14ac:dyDescent="0.2">
      <c r="A44" s="41" t="s">
        <v>35</v>
      </c>
      <c r="C44" s="2"/>
      <c r="J44" s="35" t="s">
        <v>6</v>
      </c>
      <c r="K44" s="4">
        <f t="shared" si="4"/>
        <v>0</v>
      </c>
      <c r="L44" s="36">
        <f t="shared" si="5"/>
        <v>0</v>
      </c>
    </row>
    <row r="45" spans="1:12" ht="16.5" thickBot="1" x14ac:dyDescent="0.3">
      <c r="A45" s="63"/>
      <c r="B45" s="63" t="s">
        <v>0</v>
      </c>
      <c r="C45" s="63" t="s">
        <v>1</v>
      </c>
      <c r="D45" s="63" t="s">
        <v>2</v>
      </c>
      <c r="E45" s="63" t="s">
        <v>4</v>
      </c>
      <c r="J45" s="35"/>
      <c r="K45" s="4"/>
      <c r="L45" s="36"/>
    </row>
    <row r="46" spans="1:12" x14ac:dyDescent="0.2">
      <c r="A46" s="20" t="s">
        <v>3</v>
      </c>
      <c r="B46" s="28">
        <v>0</v>
      </c>
      <c r="C46" s="29">
        <v>0</v>
      </c>
      <c r="D46" s="29">
        <v>0</v>
      </c>
      <c r="E46" s="30">
        <v>1</v>
      </c>
      <c r="J46" s="35" t="s">
        <v>7</v>
      </c>
      <c r="K46" s="4">
        <f t="shared" ref="K46:K54" si="6">VLOOKUP(J46, $A$46:$E$78, 3)</f>
        <v>0</v>
      </c>
      <c r="L46" s="36">
        <f t="shared" ref="L46:L54" si="7">VLOOKUP(J46, $A$46:$E$78,  2)</f>
        <v>40</v>
      </c>
    </row>
    <row r="47" spans="1:12" x14ac:dyDescent="0.2">
      <c r="A47" s="21" t="s">
        <v>30</v>
      </c>
      <c r="B47">
        <f>0.35*B53</f>
        <v>70</v>
      </c>
      <c r="C47">
        <f>0.3*C53</f>
        <v>210</v>
      </c>
      <c r="D47">
        <f>D53</f>
        <v>500</v>
      </c>
      <c r="E47" s="13">
        <v>1</v>
      </c>
      <c r="J47" s="35" t="s">
        <v>16</v>
      </c>
      <c r="K47" s="4">
        <f t="shared" si="6"/>
        <v>0</v>
      </c>
      <c r="L47" s="36">
        <f t="shared" si="7"/>
        <v>40</v>
      </c>
    </row>
    <row r="48" spans="1:12" x14ac:dyDescent="0.2">
      <c r="A48" s="21" t="s">
        <v>31</v>
      </c>
      <c r="B48">
        <f>0.95*B53</f>
        <v>190</v>
      </c>
      <c r="C48">
        <f>C47</f>
        <v>210</v>
      </c>
      <c r="D48">
        <f>D47</f>
        <v>500</v>
      </c>
      <c r="E48" s="13">
        <v>1</v>
      </c>
      <c r="J48" s="35" t="s">
        <v>17</v>
      </c>
      <c r="K48" s="4">
        <f t="shared" si="6"/>
        <v>700</v>
      </c>
      <c r="L48" s="36">
        <f t="shared" si="7"/>
        <v>40</v>
      </c>
    </row>
    <row r="49" spans="1:12" x14ac:dyDescent="0.2">
      <c r="A49" s="21" t="s">
        <v>32</v>
      </c>
      <c r="B49">
        <f>0.6*B53</f>
        <v>120</v>
      </c>
      <c r="C49">
        <f>0.5*C53</f>
        <v>350</v>
      </c>
      <c r="D49">
        <f>D53</f>
        <v>500</v>
      </c>
      <c r="E49" s="13">
        <v>1</v>
      </c>
      <c r="J49" s="35" t="s">
        <v>14</v>
      </c>
      <c r="K49" s="4">
        <f t="shared" si="6"/>
        <v>700</v>
      </c>
      <c r="L49" s="36">
        <f t="shared" si="7"/>
        <v>40</v>
      </c>
    </row>
    <row r="50" spans="1:12" x14ac:dyDescent="0.2">
      <c r="A50" s="21" t="s">
        <v>34</v>
      </c>
      <c r="B50">
        <f>0.2*B53</f>
        <v>40</v>
      </c>
      <c r="C50">
        <f>0.35*C53</f>
        <v>244.99999999999997</v>
      </c>
      <c r="D50">
        <f>4.5*D53</f>
        <v>2250</v>
      </c>
      <c r="E50" s="13">
        <v>1</v>
      </c>
      <c r="J50" s="35" t="s">
        <v>13</v>
      </c>
      <c r="K50" s="4">
        <f t="shared" si="6"/>
        <v>489.99999999999994</v>
      </c>
      <c r="L50" s="36">
        <f t="shared" si="7"/>
        <v>40</v>
      </c>
    </row>
    <row r="51" spans="1:12" x14ac:dyDescent="0.2">
      <c r="A51" s="21" t="s">
        <v>37</v>
      </c>
      <c r="B51">
        <f>B50</f>
        <v>40</v>
      </c>
      <c r="C51">
        <f>0.5*C53</f>
        <v>350</v>
      </c>
      <c r="D51">
        <f>2.5*D53</f>
        <v>1250</v>
      </c>
      <c r="E51" s="13">
        <v>1</v>
      </c>
      <c r="J51" s="35" t="s">
        <v>12</v>
      </c>
      <c r="K51" s="4">
        <f t="shared" si="6"/>
        <v>489.99999999999994</v>
      </c>
      <c r="L51" s="36">
        <f t="shared" si="7"/>
        <v>40</v>
      </c>
    </row>
    <row r="52" spans="1:12" x14ac:dyDescent="0.2">
      <c r="A52" s="21" t="s">
        <v>38</v>
      </c>
      <c r="B52">
        <f>B50</f>
        <v>40</v>
      </c>
      <c r="C52">
        <f>0.65*C53</f>
        <v>455</v>
      </c>
      <c r="D52">
        <f>3*D53</f>
        <v>1500</v>
      </c>
      <c r="E52" s="13">
        <v>1</v>
      </c>
      <c r="J52" s="35" t="s">
        <v>5</v>
      </c>
      <c r="K52" s="4">
        <f t="shared" si="6"/>
        <v>210</v>
      </c>
      <c r="L52" s="36">
        <f t="shared" si="7"/>
        <v>40</v>
      </c>
    </row>
    <row r="53" spans="1:12" x14ac:dyDescent="0.2">
      <c r="A53" s="21" t="s">
        <v>39</v>
      </c>
      <c r="B53" s="31">
        <f xml:space="preserve"> 100*C98</f>
        <v>200</v>
      </c>
      <c r="C53" s="31">
        <f>100*A98</f>
        <v>700</v>
      </c>
      <c r="D53" s="31">
        <f xml:space="preserve"> 100 *B98</f>
        <v>500</v>
      </c>
      <c r="E53" s="13">
        <v>1</v>
      </c>
      <c r="J53" s="35" t="s">
        <v>8</v>
      </c>
      <c r="K53" s="4">
        <f t="shared" si="6"/>
        <v>210</v>
      </c>
      <c r="L53" s="36">
        <f t="shared" si="7"/>
        <v>40</v>
      </c>
    </row>
    <row r="54" spans="1:12" x14ac:dyDescent="0.2">
      <c r="A54" s="21" t="s">
        <v>6</v>
      </c>
      <c r="B54">
        <v>0</v>
      </c>
      <c r="C54">
        <v>0</v>
      </c>
      <c r="D54">
        <f>3*D53</f>
        <v>1500</v>
      </c>
      <c r="E54" s="27">
        <v>1</v>
      </c>
      <c r="J54" s="35" t="s">
        <v>7</v>
      </c>
      <c r="K54" s="4">
        <f t="shared" si="6"/>
        <v>0</v>
      </c>
      <c r="L54" s="36">
        <f t="shared" si="7"/>
        <v>40</v>
      </c>
    </row>
    <row r="55" spans="1:12" x14ac:dyDescent="0.2">
      <c r="A55" s="21" t="s">
        <v>7</v>
      </c>
      <c r="B55">
        <f>0.2*B53</f>
        <v>40</v>
      </c>
      <c r="C55">
        <v>0</v>
      </c>
      <c r="D55">
        <f>3*D53</f>
        <v>1500</v>
      </c>
      <c r="E55" s="27">
        <v>1</v>
      </c>
      <c r="J55" s="35"/>
      <c r="K55" s="4"/>
      <c r="L55" s="36"/>
    </row>
    <row r="56" spans="1:12" x14ac:dyDescent="0.2">
      <c r="A56" s="21" t="s">
        <v>8</v>
      </c>
      <c r="B56">
        <f>0.2*B53</f>
        <v>40</v>
      </c>
      <c r="C56">
        <f>0.3*C53</f>
        <v>210</v>
      </c>
      <c r="D56">
        <f>3*D53</f>
        <v>1500</v>
      </c>
      <c r="E56" s="27">
        <v>1</v>
      </c>
      <c r="J56" s="35" t="s">
        <v>28</v>
      </c>
      <c r="K56" s="4">
        <f>VLOOKUP(J56, $A$46:$E$78, 3)</f>
        <v>280</v>
      </c>
      <c r="L56" s="36">
        <f>VLOOKUP(J56, $A$46:$E$78,  2)</f>
        <v>140</v>
      </c>
    </row>
    <row r="57" spans="1:12" x14ac:dyDescent="0.2">
      <c r="A57" s="21" t="s">
        <v>5</v>
      </c>
      <c r="B57">
        <f>0.2*B53</f>
        <v>40</v>
      </c>
      <c r="C57">
        <f>0.3*C53</f>
        <v>210</v>
      </c>
      <c r="D57">
        <f>5*D53</f>
        <v>2500</v>
      </c>
      <c r="E57" s="27">
        <v>1</v>
      </c>
      <c r="J57" s="35" t="s">
        <v>0</v>
      </c>
      <c r="K57" s="4">
        <f>VLOOKUP(J57, $A$46:$E$78, 3)</f>
        <v>280</v>
      </c>
      <c r="L57" s="36">
        <f>VLOOKUP(J57, $A$46:$E$78,  2)</f>
        <v>140</v>
      </c>
    </row>
    <row r="58" spans="1:12" x14ac:dyDescent="0.2">
      <c r="A58" s="21" t="s">
        <v>9</v>
      </c>
      <c r="B58">
        <v>0</v>
      </c>
      <c r="C58">
        <f>0.3*C53</f>
        <v>210</v>
      </c>
      <c r="D58">
        <f>5*D53</f>
        <v>2500</v>
      </c>
      <c r="E58" s="27">
        <v>1</v>
      </c>
      <c r="J58" s="35" t="s">
        <v>22</v>
      </c>
      <c r="K58" s="4">
        <f>VLOOKUP(J58, $A$46:$E$78, 3)</f>
        <v>700</v>
      </c>
      <c r="L58" s="36">
        <f>VLOOKUP(J58, $A$46:$E$78,  2)</f>
        <v>140</v>
      </c>
    </row>
    <row r="59" spans="1:12" x14ac:dyDescent="0.2">
      <c r="A59" s="21" t="s">
        <v>10</v>
      </c>
      <c r="B59">
        <v>0</v>
      </c>
      <c r="C59">
        <f>0.3*C53</f>
        <v>210</v>
      </c>
      <c r="D59">
        <f>3*D53</f>
        <v>1500</v>
      </c>
      <c r="E59" s="40">
        <v>1</v>
      </c>
      <c r="J59" s="35" t="s">
        <v>23</v>
      </c>
      <c r="K59" s="4">
        <f>VLOOKUP(J59, $A$46:$E$78, 3)</f>
        <v>700</v>
      </c>
      <c r="L59" s="36">
        <f>VLOOKUP(J59, $A$46:$E$78,  2)</f>
        <v>140</v>
      </c>
    </row>
    <row r="60" spans="1:12" x14ac:dyDescent="0.2">
      <c r="A60" s="21" t="s">
        <v>4</v>
      </c>
      <c r="B60">
        <v>0</v>
      </c>
      <c r="C60">
        <f>0.7*C53</f>
        <v>489.99999999999994</v>
      </c>
      <c r="D60">
        <f>3*D53</f>
        <v>1500</v>
      </c>
      <c r="E60" s="27">
        <v>1</v>
      </c>
      <c r="J60" s="35" t="s">
        <v>28</v>
      </c>
      <c r="K60" s="4">
        <f>VLOOKUP(J60, $A$46:$E$78, 3)</f>
        <v>280</v>
      </c>
      <c r="L60" s="36">
        <f>VLOOKUP(J60, $A$46:$E$78,  2)</f>
        <v>140</v>
      </c>
    </row>
    <row r="61" spans="1:12" x14ac:dyDescent="0.2">
      <c r="A61" s="21" t="s">
        <v>11</v>
      </c>
      <c r="B61">
        <v>0</v>
      </c>
      <c r="C61">
        <f>0.7*C53</f>
        <v>489.99999999999994</v>
      </c>
      <c r="D61">
        <f>5*D53</f>
        <v>2500</v>
      </c>
      <c r="E61" s="13">
        <v>1</v>
      </c>
      <c r="J61" s="35"/>
      <c r="K61" s="4"/>
      <c r="L61" s="36"/>
    </row>
    <row r="62" spans="1:12" x14ac:dyDescent="0.2">
      <c r="A62" s="21" t="s">
        <v>12</v>
      </c>
      <c r="B62">
        <f>0.2*B53</f>
        <v>40</v>
      </c>
      <c r="C62">
        <f>0.7*C53</f>
        <v>489.99999999999994</v>
      </c>
      <c r="D62">
        <f>5*D53</f>
        <v>2500</v>
      </c>
      <c r="E62" s="13">
        <v>1</v>
      </c>
      <c r="J62" s="35" t="s">
        <v>24</v>
      </c>
      <c r="K62" s="4">
        <f>VLOOKUP(J62, $A$46:$E$78, 3)</f>
        <v>0</v>
      </c>
      <c r="L62" s="36">
        <f>VLOOKUP(J62, $A$46:$E$78,  2)</f>
        <v>200</v>
      </c>
    </row>
    <row r="63" spans="1:12" x14ac:dyDescent="0.2">
      <c r="A63" s="21" t="s">
        <v>13</v>
      </c>
      <c r="B63">
        <f>0.2*B53</f>
        <v>40</v>
      </c>
      <c r="C63">
        <f>0.7*C53</f>
        <v>489.99999999999994</v>
      </c>
      <c r="D63">
        <f>3*D53</f>
        <v>1500</v>
      </c>
      <c r="E63" s="13">
        <v>1</v>
      </c>
      <c r="J63" s="35" t="s">
        <v>25</v>
      </c>
      <c r="K63" s="4">
        <f>VLOOKUP(J63, $A$46:$E$78, 3)</f>
        <v>0</v>
      </c>
      <c r="L63" s="36">
        <f>VLOOKUP(J63, $A$46:$E$78,  2)</f>
        <v>200</v>
      </c>
    </row>
    <row r="64" spans="1:12" x14ac:dyDescent="0.2">
      <c r="A64" s="21" t="s">
        <v>14</v>
      </c>
      <c r="B64">
        <f>0.2*B53</f>
        <v>40</v>
      </c>
      <c r="C64">
        <f>C53</f>
        <v>700</v>
      </c>
      <c r="D64">
        <f>3*D53</f>
        <v>1500</v>
      </c>
      <c r="E64" s="13">
        <v>1</v>
      </c>
      <c r="J64" s="35" t="s">
        <v>26</v>
      </c>
      <c r="K64" s="4">
        <f>VLOOKUP(J64, $A$46:$E$78, 3)</f>
        <v>280</v>
      </c>
      <c r="L64" s="36">
        <f>VLOOKUP(J64, $A$46:$E$78,  2)</f>
        <v>200</v>
      </c>
    </row>
    <row r="65" spans="1:12" x14ac:dyDescent="0.2">
      <c r="A65" s="21" t="s">
        <v>15</v>
      </c>
      <c r="B65" s="5">
        <v>0</v>
      </c>
      <c r="C65">
        <f>C53</f>
        <v>700</v>
      </c>
      <c r="D65">
        <f>3*D53</f>
        <v>1500</v>
      </c>
      <c r="E65" s="13">
        <v>1</v>
      </c>
      <c r="J65" s="35" t="s">
        <v>27</v>
      </c>
      <c r="K65" s="4">
        <f>VLOOKUP(J65, $A$46:$E$78, 3)</f>
        <v>280</v>
      </c>
      <c r="L65" s="36">
        <f>VLOOKUP(J65, $A$46:$E$78,  2)</f>
        <v>200</v>
      </c>
    </row>
    <row r="66" spans="1:12" x14ac:dyDescent="0.2">
      <c r="A66" s="21" t="s">
        <v>21</v>
      </c>
      <c r="B66" s="5">
        <v>0</v>
      </c>
      <c r="C66">
        <f>C53</f>
        <v>700</v>
      </c>
      <c r="D66">
        <v>0</v>
      </c>
      <c r="E66" s="13">
        <v>1</v>
      </c>
      <c r="J66" s="35" t="s">
        <v>24</v>
      </c>
      <c r="K66" s="4">
        <f>VLOOKUP(J66, $A$46:$E$78, 3)</f>
        <v>0</v>
      </c>
      <c r="L66" s="36">
        <f>VLOOKUP(J66, $A$46:$E$78,  2)</f>
        <v>200</v>
      </c>
    </row>
    <row r="67" spans="1:12" x14ac:dyDescent="0.2">
      <c r="A67" s="21" t="s">
        <v>22</v>
      </c>
      <c r="B67" s="5">
        <f>0.7*B53</f>
        <v>140</v>
      </c>
      <c r="C67">
        <f>C53</f>
        <v>700</v>
      </c>
      <c r="D67">
        <v>0</v>
      </c>
      <c r="E67" s="13">
        <v>1</v>
      </c>
      <c r="J67" s="35"/>
      <c r="K67" s="4"/>
      <c r="L67" s="36"/>
    </row>
    <row r="68" spans="1:12" x14ac:dyDescent="0.2">
      <c r="A68" s="21" t="s">
        <v>23</v>
      </c>
      <c r="B68" s="5">
        <f>0.7*B53</f>
        <v>140</v>
      </c>
      <c r="C68">
        <f>C53</f>
        <v>700</v>
      </c>
      <c r="D68">
        <f>D53</f>
        <v>500</v>
      </c>
      <c r="E68" s="13">
        <v>1</v>
      </c>
      <c r="J68" s="35" t="s">
        <v>1</v>
      </c>
      <c r="K68" s="4">
        <f>VLOOKUP(J68, $A$46:$E$78, 3)</f>
        <v>105</v>
      </c>
      <c r="L68" s="36">
        <f>VLOOKUP(J68, $A$46:$E$78,  2)</f>
        <v>50</v>
      </c>
    </row>
    <row r="69" spans="1:12" x14ac:dyDescent="0.2">
      <c r="A69" s="21" t="s">
        <v>17</v>
      </c>
      <c r="B69" s="5">
        <f>0.2*B53</f>
        <v>40</v>
      </c>
      <c r="C69">
        <f>C53</f>
        <v>700</v>
      </c>
      <c r="D69">
        <f>D53</f>
        <v>500</v>
      </c>
      <c r="E69" s="13">
        <v>1</v>
      </c>
      <c r="J69" s="35" t="s">
        <v>2</v>
      </c>
      <c r="K69" s="4">
        <f>VLOOKUP(J69, $A$46:$E$78, 3)</f>
        <v>105</v>
      </c>
      <c r="L69" s="36">
        <f>VLOOKUP(J69, $A$46:$E$78,  2)</f>
        <v>120</v>
      </c>
    </row>
    <row r="70" spans="1:12" x14ac:dyDescent="0.2">
      <c r="A70" s="21" t="s">
        <v>16</v>
      </c>
      <c r="B70" s="5">
        <f>0.2*B53</f>
        <v>40</v>
      </c>
      <c r="C70">
        <v>0</v>
      </c>
      <c r="D70">
        <f>D53</f>
        <v>500</v>
      </c>
      <c r="E70" s="13">
        <v>1</v>
      </c>
      <c r="J70" s="35" t="s">
        <v>32</v>
      </c>
      <c r="K70" s="4">
        <f>VLOOKUP(J70, $A$46:$E$78, 3)</f>
        <v>350</v>
      </c>
      <c r="L70" s="36">
        <f>VLOOKUP(J70, $A$46:$E$78,  2)</f>
        <v>120</v>
      </c>
    </row>
    <row r="71" spans="1:12" x14ac:dyDescent="0.2">
      <c r="A71" s="21" t="s">
        <v>24</v>
      </c>
      <c r="B71" s="5">
        <f>B53</f>
        <v>200</v>
      </c>
      <c r="C71">
        <v>0</v>
      </c>
      <c r="D71">
        <f>D53</f>
        <v>500</v>
      </c>
      <c r="E71" s="13">
        <v>1</v>
      </c>
      <c r="J71" s="35"/>
      <c r="K71" s="4"/>
      <c r="L71" s="36"/>
    </row>
    <row r="72" spans="1:12" x14ac:dyDescent="0.2">
      <c r="A72" s="21" t="s">
        <v>25</v>
      </c>
      <c r="B72" s="5">
        <f>B53</f>
        <v>200</v>
      </c>
      <c r="C72">
        <v>0</v>
      </c>
      <c r="D72">
        <v>0</v>
      </c>
      <c r="E72" s="13">
        <v>1</v>
      </c>
      <c r="J72" s="42" t="s">
        <v>30</v>
      </c>
      <c r="K72" s="4">
        <f>VLOOKUP(J72, $A$46:$E$78, 3)</f>
        <v>210</v>
      </c>
      <c r="L72" s="36">
        <f>VLOOKUP(J72, $A$46:$E$78,  2)</f>
        <v>70</v>
      </c>
    </row>
    <row r="73" spans="1:12" x14ac:dyDescent="0.2">
      <c r="A73" s="21" t="s">
        <v>26</v>
      </c>
      <c r="B73" s="5">
        <f>B53</f>
        <v>200</v>
      </c>
      <c r="C73">
        <f>0.4*C53</f>
        <v>280</v>
      </c>
      <c r="D73">
        <v>0</v>
      </c>
      <c r="E73" s="13">
        <v>1</v>
      </c>
      <c r="J73" s="42" t="s">
        <v>31</v>
      </c>
      <c r="K73" s="4">
        <f>VLOOKUP(J73, $A$46:$E$78, 3)</f>
        <v>210</v>
      </c>
      <c r="L73" s="36">
        <f>VLOOKUP(J73, $A$46:$E$78,  2)</f>
        <v>190</v>
      </c>
    </row>
    <row r="74" spans="1:12" x14ac:dyDescent="0.2">
      <c r="A74" s="21" t="s">
        <v>27</v>
      </c>
      <c r="B74" s="5">
        <f>B53</f>
        <v>200</v>
      </c>
      <c r="C74">
        <f>0.4*C53</f>
        <v>280</v>
      </c>
      <c r="D74">
        <f>D53</f>
        <v>500</v>
      </c>
      <c r="E74" s="13">
        <v>1</v>
      </c>
      <c r="J74" s="42"/>
      <c r="K74" s="4"/>
      <c r="L74" s="36"/>
    </row>
    <row r="75" spans="1:12" x14ac:dyDescent="0.2">
      <c r="A75" s="21" t="s">
        <v>28</v>
      </c>
      <c r="B75" s="5">
        <f>0.7*B53</f>
        <v>140</v>
      </c>
      <c r="C75">
        <f>0.4*C53</f>
        <v>280</v>
      </c>
      <c r="D75">
        <f>D53</f>
        <v>500</v>
      </c>
      <c r="E75" s="13">
        <v>1</v>
      </c>
      <c r="J75" s="42" t="s">
        <v>34</v>
      </c>
      <c r="K75" s="4">
        <f>VLOOKUP(J75, $A$46:$E$78, 3)</f>
        <v>244.99999999999997</v>
      </c>
      <c r="L75" s="36">
        <f>VLOOKUP(J75, $A$46:$E$78,  2)</f>
        <v>40</v>
      </c>
    </row>
    <row r="76" spans="1:12" x14ac:dyDescent="0.2">
      <c r="A76" s="21" t="s">
        <v>0</v>
      </c>
      <c r="B76">
        <f>0.7*B53</f>
        <v>140</v>
      </c>
      <c r="C76">
        <f>0.4*C53</f>
        <v>280</v>
      </c>
      <c r="D76">
        <v>0</v>
      </c>
      <c r="E76" s="13">
        <v>1</v>
      </c>
      <c r="J76" s="42" t="s">
        <v>37</v>
      </c>
      <c r="K76" s="4">
        <f>VLOOKUP(J76, $A$46:$E$78, 3)</f>
        <v>350</v>
      </c>
      <c r="L76" s="36">
        <f>VLOOKUP(J76, $A$46:$E$78,  2)</f>
        <v>40</v>
      </c>
    </row>
    <row r="77" spans="1:12" ht="13.5" thickBot="1" x14ac:dyDescent="0.25">
      <c r="A77" s="21" t="s">
        <v>1</v>
      </c>
      <c r="B77">
        <f>0.25*B53</f>
        <v>50</v>
      </c>
      <c r="C77">
        <f>0.15*C53</f>
        <v>105</v>
      </c>
      <c r="D77">
        <f>D53</f>
        <v>500</v>
      </c>
      <c r="E77" s="13">
        <v>1</v>
      </c>
      <c r="J77" s="43" t="s">
        <v>38</v>
      </c>
      <c r="K77" s="44">
        <f>VLOOKUP(J77, $A$46:$E$78, 3)</f>
        <v>455</v>
      </c>
      <c r="L77" s="45">
        <f>VLOOKUP(J77, $A$46:$E$78,  2)</f>
        <v>40</v>
      </c>
    </row>
    <row r="78" spans="1:12" ht="14.25" thickTop="1" thickBot="1" x14ac:dyDescent="0.25">
      <c r="A78" s="83" t="s">
        <v>2</v>
      </c>
      <c r="B78" s="26">
        <f>0.6*B53</f>
        <v>120</v>
      </c>
      <c r="C78" s="7">
        <f>0.15*C53</f>
        <v>105</v>
      </c>
      <c r="D78" s="7">
        <f>D53</f>
        <v>500</v>
      </c>
      <c r="E78" s="15">
        <v>1</v>
      </c>
    </row>
    <row r="96" spans="1:13" ht="15.75" x14ac:dyDescent="0.25">
      <c r="A96" s="63" t="s">
        <v>48</v>
      </c>
      <c r="B96" s="61"/>
      <c r="C96" s="61"/>
      <c r="D96" s="61"/>
      <c r="E96" s="61"/>
      <c r="F96" s="61"/>
      <c r="G96" s="61"/>
      <c r="H96" s="61"/>
      <c r="I96" s="61"/>
      <c r="K96" s="63" t="s">
        <v>58</v>
      </c>
      <c r="L96" s="62"/>
      <c r="M96" s="62"/>
    </row>
    <row r="97" spans="1:13" x14ac:dyDescent="0.2">
      <c r="A97" s="73" t="s">
        <v>66</v>
      </c>
      <c r="K97" s="41" t="s">
        <v>59</v>
      </c>
    </row>
    <row r="98" spans="1:13" ht="16.5" thickBot="1" x14ac:dyDescent="0.3">
      <c r="A98" s="49">
        <v>7</v>
      </c>
      <c r="B98" s="50">
        <v>5</v>
      </c>
      <c r="C98" s="50">
        <v>2</v>
      </c>
      <c r="K98" s="63"/>
      <c r="L98" s="63" t="s">
        <v>26</v>
      </c>
      <c r="M98" s="63" t="s">
        <v>27</v>
      </c>
    </row>
    <row r="99" spans="1:13" ht="15.75" x14ac:dyDescent="0.25">
      <c r="A99" s="63" t="s">
        <v>49</v>
      </c>
      <c r="B99" s="62"/>
      <c r="C99" s="62"/>
      <c r="D99" s="61"/>
      <c r="E99" s="61"/>
      <c r="F99" s="61"/>
      <c r="G99" s="61"/>
      <c r="H99" s="61"/>
      <c r="I99" s="61"/>
      <c r="K99" s="22" t="s">
        <v>3</v>
      </c>
      <c r="L99" s="9">
        <f t="shared" ref="L99:L105" si="8">VLOOKUP($K99, $A$131:$E$163, 2)</f>
        <v>277.99368408755231</v>
      </c>
      <c r="M99" s="10">
        <f t="shared" ref="M99:M105" si="9">VLOOKUP($K99, $A$131:$E$163, 3)</f>
        <v>-522.56108099161656</v>
      </c>
    </row>
    <row r="100" spans="1:13" x14ac:dyDescent="0.2">
      <c r="B100" s="48" t="s">
        <v>0</v>
      </c>
      <c r="C100" s="48" t="s">
        <v>1</v>
      </c>
      <c r="D100" s="48" t="s">
        <v>2</v>
      </c>
      <c r="K100" s="5" t="s">
        <v>25</v>
      </c>
      <c r="L100" s="4">
        <f t="shared" si="8"/>
        <v>138.02252183131361</v>
      </c>
      <c r="M100" s="6">
        <f t="shared" si="9"/>
        <v>-404.33192058755719</v>
      </c>
    </row>
    <row r="101" spans="1:13" x14ac:dyDescent="0.2">
      <c r="A101" s="41" t="s">
        <v>67</v>
      </c>
      <c r="B101">
        <f>B51-D12</f>
        <v>1332.2402142048813</v>
      </c>
      <c r="C101">
        <f>C51-E12</f>
        <v>-1305.3293414881894</v>
      </c>
      <c r="D101">
        <f>D51-F12</f>
        <v>-2750</v>
      </c>
      <c r="K101" s="5" t="s">
        <v>26</v>
      </c>
      <c r="L101" s="4">
        <f t="shared" si="8"/>
        <v>-61.977039477730045</v>
      </c>
      <c r="M101" s="6">
        <f t="shared" si="9"/>
        <v>-566.50927166073097</v>
      </c>
    </row>
    <row r="102" spans="1:13" x14ac:dyDescent="0.2">
      <c r="A102" s="41" t="s">
        <v>50</v>
      </c>
      <c r="B102">
        <f>B$101/SQRT(POWER($B$101,2) + POWER($C$101,2) + POWER($D$101,2))</f>
        <v>0.40093451356764293</v>
      </c>
      <c r="C102">
        <f>C$101/SQRT(POWER($B$101,2) + POWER($C$101,2) + POWER($D$101,2))</f>
        <v>-0.39283575063637449</v>
      </c>
      <c r="D102">
        <f>D$101/SQRT(POWER($B$101,2) + POWER($C$101,2) + POWER($D$101,2))</f>
        <v>-0.82760593814461825</v>
      </c>
      <c r="K102" s="5" t="s">
        <v>0</v>
      </c>
      <c r="L102" s="4">
        <f t="shared" si="8"/>
        <v>-19.985690800858436</v>
      </c>
      <c r="M102" s="6">
        <f t="shared" si="9"/>
        <v>-601.97801978194889</v>
      </c>
    </row>
    <row r="103" spans="1:13" ht="15.75" x14ac:dyDescent="0.25">
      <c r="A103" s="63" t="s">
        <v>51</v>
      </c>
      <c r="B103" s="62"/>
      <c r="C103" s="62"/>
      <c r="D103" s="61"/>
      <c r="E103" s="61"/>
      <c r="F103" s="61"/>
      <c r="G103" s="61"/>
      <c r="H103" s="61"/>
      <c r="I103" s="61"/>
      <c r="K103" s="5" t="s">
        <v>22</v>
      </c>
      <c r="L103" s="4">
        <f t="shared" si="8"/>
        <v>-319.98503276442398</v>
      </c>
      <c r="M103" s="6">
        <f t="shared" si="9"/>
        <v>-845.24404639170962</v>
      </c>
    </row>
    <row r="104" spans="1:13" x14ac:dyDescent="0.2">
      <c r="A104" s="41" t="s">
        <v>52</v>
      </c>
      <c r="B104">
        <v>0</v>
      </c>
      <c r="C104">
        <v>0</v>
      </c>
      <c r="D104">
        <v>1</v>
      </c>
      <c r="G104" s="51" t="s">
        <v>54</v>
      </c>
      <c r="K104" s="5" t="s">
        <v>21</v>
      </c>
      <c r="L104" s="4">
        <f t="shared" si="8"/>
        <v>-222.00521918505683</v>
      </c>
      <c r="M104" s="6">
        <f t="shared" si="9"/>
        <v>-928.00445867455119</v>
      </c>
    </row>
    <row r="105" spans="1:13" x14ac:dyDescent="0.2">
      <c r="A105" s="41" t="s">
        <v>53</v>
      </c>
      <c r="B105">
        <f>B104-(B102*G105)</f>
        <v>0.33181578423570529</v>
      </c>
      <c r="C105">
        <f>C104-(C102*G105)</f>
        <v>-0.32511319994216203</v>
      </c>
      <c r="D105">
        <f>D104-(D102*G105)</f>
        <v>0.31506841114776629</v>
      </c>
      <c r="G105">
        <f>SUMPRODUCT(B102:D102,B104:D104)</f>
        <v>-0.82760593814461825</v>
      </c>
      <c r="K105" s="5" t="s">
        <v>3</v>
      </c>
      <c r="L105" s="4">
        <f t="shared" si="8"/>
        <v>277.99368408755231</v>
      </c>
      <c r="M105" s="6">
        <f t="shared" si="9"/>
        <v>-522.56108099161656</v>
      </c>
    </row>
    <row r="106" spans="1:13" x14ac:dyDescent="0.2">
      <c r="A106" s="41" t="s">
        <v>68</v>
      </c>
      <c r="B106">
        <f>B$105/SQRT(POWER($B$105,2) + POWER($C$105,2) + POWER($D$105,2))</f>
        <v>0.59114580202029698</v>
      </c>
      <c r="C106">
        <f>C$105/SQRT(POWER($B$105,2) + POWER($C$105,2) + POWER($D$105,2))</f>
        <v>-0.5792048252613351</v>
      </c>
      <c r="D106">
        <f>D$105/SQRT(POWER($B$105,2) + POWER($C$105,2) + POWER($D$105,2))</f>
        <v>0.56130955020181728</v>
      </c>
      <c r="K106" s="5"/>
      <c r="L106" s="4"/>
      <c r="M106" s="6"/>
    </row>
    <row r="107" spans="1:13" ht="15.75" x14ac:dyDescent="0.25">
      <c r="A107" s="63" t="s">
        <v>55</v>
      </c>
      <c r="B107" s="62"/>
      <c r="C107" s="62"/>
      <c r="D107" s="61"/>
      <c r="E107" s="61"/>
      <c r="F107" s="61"/>
      <c r="G107" s="61"/>
      <c r="H107" s="61"/>
      <c r="I107" s="61"/>
      <c r="K107" s="5" t="s">
        <v>16</v>
      </c>
      <c r="L107" s="4">
        <f t="shared" ref="L107:L113" si="10">VLOOKUP($K107, $A$131:$E$163, 2)</f>
        <v>249.99945163630457</v>
      </c>
      <c r="M107" s="6">
        <f t="shared" ref="M107:M113" si="11">VLOOKUP($K107, $A$131:$E$163, 3)</f>
        <v>-218.26047380989604</v>
      </c>
    </row>
    <row r="108" spans="1:13" x14ac:dyDescent="0.2">
      <c r="A108" s="41" t="s">
        <v>69</v>
      </c>
      <c r="B108">
        <f>(C102*D106)-(C106*D102)</f>
        <v>-0.69985581128119356</v>
      </c>
      <c r="C108">
        <f>(B106*D102)-(B102*D106)</f>
        <v>-0.71428414753229874</v>
      </c>
      <c r="D108">
        <f>(B102*C106)-(B106*C102)</f>
        <v>0</v>
      </c>
      <c r="K108" s="5" t="s">
        <v>24</v>
      </c>
      <c r="L108" s="4">
        <f t="shared" si="10"/>
        <v>138.02252183131361</v>
      </c>
      <c r="M108" s="6">
        <f t="shared" si="11"/>
        <v>-123.67714548664856</v>
      </c>
    </row>
    <row r="109" spans="1:13" ht="15.75" x14ac:dyDescent="0.25">
      <c r="A109" s="63" t="s">
        <v>56</v>
      </c>
      <c r="B109" s="60"/>
      <c r="C109" s="60"/>
      <c r="D109" s="60"/>
      <c r="E109" s="60"/>
      <c r="F109" s="60"/>
      <c r="G109" s="60"/>
      <c r="H109" s="60"/>
      <c r="I109" s="60"/>
      <c r="K109" s="5" t="s">
        <v>27</v>
      </c>
      <c r="L109" s="4">
        <f t="shared" si="10"/>
        <v>-61.977039477730045</v>
      </c>
      <c r="M109" s="6">
        <f t="shared" si="11"/>
        <v>-285.85449655982234</v>
      </c>
    </row>
    <row r="110" spans="1:13" x14ac:dyDescent="0.2">
      <c r="K110" s="5" t="s">
        <v>28</v>
      </c>
      <c r="L110" s="4">
        <f t="shared" si="10"/>
        <v>-19.985690800858436</v>
      </c>
      <c r="M110" s="6">
        <f t="shared" si="11"/>
        <v>-321.32324468104019</v>
      </c>
    </row>
    <row r="111" spans="1:13" x14ac:dyDescent="0.2">
      <c r="K111" s="5" t="s">
        <v>23</v>
      </c>
      <c r="L111" s="4">
        <f t="shared" si="10"/>
        <v>-319.98503276442398</v>
      </c>
      <c r="M111" s="6">
        <f t="shared" si="11"/>
        <v>-564.58927129080098</v>
      </c>
    </row>
    <row r="112" spans="1:13" x14ac:dyDescent="0.2">
      <c r="A112" s="41" t="s">
        <v>63</v>
      </c>
      <c r="K112" s="5" t="s">
        <v>17</v>
      </c>
      <c r="L112" s="4">
        <f t="shared" si="10"/>
        <v>-249.99945163630457</v>
      </c>
      <c r="M112" s="6">
        <f t="shared" si="11"/>
        <v>-623.70385149283061</v>
      </c>
    </row>
    <row r="113" spans="1:13" x14ac:dyDescent="0.2">
      <c r="A113" s="52">
        <f>B108</f>
        <v>-0.69985581128119356</v>
      </c>
      <c r="B113" s="53">
        <f>B106</f>
        <v>0.59114580202029698</v>
      </c>
      <c r="C113" s="53">
        <f>B102</f>
        <v>0.40093451356764293</v>
      </c>
      <c r="D113" s="54">
        <v>0</v>
      </c>
      <c r="F113" s="41" t="s">
        <v>62</v>
      </c>
      <c r="K113" s="5" t="s">
        <v>16</v>
      </c>
      <c r="L113" s="4">
        <f t="shared" si="10"/>
        <v>249.99945163630457</v>
      </c>
      <c r="M113" s="6">
        <f t="shared" si="11"/>
        <v>-218.26047380989604</v>
      </c>
    </row>
    <row r="114" spans="1:13" x14ac:dyDescent="0.2">
      <c r="A114" s="55">
        <f>C108</f>
        <v>-0.71428414753229874</v>
      </c>
      <c r="B114" s="4">
        <f>C106</f>
        <v>-0.5792048252613351</v>
      </c>
      <c r="C114" s="4">
        <f>C102</f>
        <v>-0.39283575063637449</v>
      </c>
      <c r="D114" s="56">
        <v>0</v>
      </c>
      <c r="F114" s="52">
        <f>B108</f>
        <v>-0.69985581128119356</v>
      </c>
      <c r="G114" s="53">
        <f>C108</f>
        <v>-0.71428414753229874</v>
      </c>
      <c r="H114" s="53">
        <f>D108</f>
        <v>0</v>
      </c>
      <c r="I114" s="54">
        <v>0</v>
      </c>
      <c r="K114" s="5"/>
      <c r="L114" s="4"/>
      <c r="M114" s="6"/>
    </row>
    <row r="115" spans="1:13" x14ac:dyDescent="0.2">
      <c r="A115" s="55">
        <f>D108</f>
        <v>0</v>
      </c>
      <c r="B115" s="4">
        <f>D106</f>
        <v>0.56130955020181728</v>
      </c>
      <c r="C115" s="4">
        <f>D102</f>
        <v>-0.82760593814461825</v>
      </c>
      <c r="D115" s="56">
        <v>0</v>
      </c>
      <c r="F115" s="55">
        <f>B106</f>
        <v>0.59114580202029698</v>
      </c>
      <c r="G115" s="4">
        <f>C106</f>
        <v>-0.5792048252613351</v>
      </c>
      <c r="H115" s="4">
        <f>D106</f>
        <v>0.56130955020181728</v>
      </c>
      <c r="I115" s="56">
        <v>0</v>
      </c>
      <c r="K115" s="5" t="s">
        <v>6</v>
      </c>
      <c r="L115" s="4">
        <f>VLOOKUP($K115, $A$131:$E$163, 2)</f>
        <v>277.99368408755231</v>
      </c>
      <c r="M115" s="6">
        <f>VLOOKUP($K115, $A$131:$E$163, 3)</f>
        <v>319.40324431110935</v>
      </c>
    </row>
    <row r="116" spans="1:13" x14ac:dyDescent="0.2">
      <c r="A116" s="57">
        <v>0</v>
      </c>
      <c r="B116" s="58">
        <v>0</v>
      </c>
      <c r="C116" s="58">
        <v>0</v>
      </c>
      <c r="D116" s="59">
        <v>1</v>
      </c>
      <c r="F116" s="55">
        <f>B102</f>
        <v>0.40093451356764293</v>
      </c>
      <c r="G116" s="4">
        <f>C102</f>
        <v>-0.39283575063637449</v>
      </c>
      <c r="H116" s="4">
        <f>D102</f>
        <v>-0.82760593814461825</v>
      </c>
      <c r="I116" s="56">
        <v>0</v>
      </c>
      <c r="K116" s="5" t="s">
        <v>7</v>
      </c>
      <c r="L116" s="4">
        <f>VLOOKUP($K116, $A$131:$E$163, 2)</f>
        <v>249.99945163630457</v>
      </c>
      <c r="M116" s="6">
        <f>VLOOKUP($K116, $A$131:$E$163, 3)</f>
        <v>343.04907639192118</v>
      </c>
    </row>
    <row r="117" spans="1:13" x14ac:dyDescent="0.2">
      <c r="A117" s="41" t="s">
        <v>64</v>
      </c>
      <c r="F117" s="57">
        <v>0</v>
      </c>
      <c r="G117" s="58">
        <v>0</v>
      </c>
      <c r="H117" s="58">
        <v>0</v>
      </c>
      <c r="I117" s="59">
        <v>1</v>
      </c>
      <c r="K117" s="5" t="s">
        <v>8</v>
      </c>
      <c r="L117" s="4">
        <f>VLOOKUP($K117, $A$131:$E$163, 2)</f>
        <v>99.999780654521828</v>
      </c>
      <c r="M117" s="6">
        <f>VLOOKUP($K117, $A$131:$E$163, 3)</f>
        <v>221.41606308704081</v>
      </c>
    </row>
    <row r="118" spans="1:13" x14ac:dyDescent="0.2">
      <c r="A118" s="52">
        <v>1</v>
      </c>
      <c r="B118" s="53">
        <v>0</v>
      </c>
      <c r="C118" s="53">
        <v>0</v>
      </c>
      <c r="D118" s="54">
        <v>0</v>
      </c>
      <c r="F118" s="41" t="s">
        <v>61</v>
      </c>
      <c r="K118" s="5" t="s">
        <v>10</v>
      </c>
      <c r="L118" s="4">
        <f>VLOOKUP($K118, $A$131:$E$163, 2)</f>
        <v>127.99401310576957</v>
      </c>
      <c r="M118" s="6">
        <f>VLOOKUP($K118, $A$131:$E$163, 3)</f>
        <v>197.77023100622898</v>
      </c>
    </row>
    <row r="119" spans="1:13" x14ac:dyDescent="0.2">
      <c r="A119" s="55">
        <v>0</v>
      </c>
      <c r="B119" s="4">
        <v>1</v>
      </c>
      <c r="C119" s="4">
        <v>0</v>
      </c>
      <c r="D119" s="56">
        <v>0</v>
      </c>
      <c r="F119" s="52">
        <f t="array" ref="F119:I122" xml:space="preserve"> MMULT(F114:I117,A113:D116)</f>
        <v>1.0000000000000004</v>
      </c>
      <c r="G119" s="53">
        <v>0</v>
      </c>
      <c r="H119" s="53">
        <v>0</v>
      </c>
      <c r="I119" s="54">
        <v>0</v>
      </c>
      <c r="K119" s="5" t="s">
        <v>6</v>
      </c>
      <c r="L119" s="4">
        <f>VLOOKUP($K119, $A$131:$E$163, 2)</f>
        <v>277.99368408755231</v>
      </c>
      <c r="M119" s="6">
        <f>VLOOKUP($K119, $A$131:$E$163, 3)</f>
        <v>319.40324431110935</v>
      </c>
    </row>
    <row r="120" spans="1:13" x14ac:dyDescent="0.2">
      <c r="A120" s="55">
        <v>0</v>
      </c>
      <c r="B120" s="4">
        <v>0</v>
      </c>
      <c r="C120" s="4">
        <v>1</v>
      </c>
      <c r="D120" s="56">
        <v>0</v>
      </c>
      <c r="F120" s="55">
        <v>0</v>
      </c>
      <c r="G120" s="4">
        <v>1.0000000000000002</v>
      </c>
      <c r="H120" s="4">
        <v>-5.5511151231257827E-17</v>
      </c>
      <c r="I120" s="56">
        <v>0</v>
      </c>
      <c r="K120" s="5"/>
      <c r="L120" s="4"/>
      <c r="M120" s="6"/>
    </row>
    <row r="121" spans="1:13" x14ac:dyDescent="0.2">
      <c r="A121" s="57">
        <f>-D$12</f>
        <v>1292.2402142048813</v>
      </c>
      <c r="B121" s="58">
        <f>-E$12</f>
        <v>-1655.3293414881894</v>
      </c>
      <c r="C121" s="58">
        <f>-F$12</f>
        <v>-4000</v>
      </c>
      <c r="D121" s="59">
        <v>1</v>
      </c>
      <c r="F121" s="55">
        <v>0</v>
      </c>
      <c r="G121" s="4">
        <v>-5.5511151231257827E-17</v>
      </c>
      <c r="H121" s="4">
        <v>1</v>
      </c>
      <c r="I121" s="56">
        <v>0</v>
      </c>
      <c r="K121" s="5" t="s">
        <v>13</v>
      </c>
      <c r="L121" s="4">
        <f>VLOOKUP($K121, $A$131:$E$163, 2)</f>
        <v>-99.999780654521771</v>
      </c>
      <c r="M121" s="6">
        <f>VLOOKUP($K121, $A$131:$E$163, 3)</f>
        <v>59.238712013867143</v>
      </c>
    </row>
    <row r="122" spans="1:13" x14ac:dyDescent="0.2">
      <c r="A122" s="41" t="s">
        <v>65</v>
      </c>
      <c r="F122" s="57">
        <v>0</v>
      </c>
      <c r="G122" s="58">
        <v>0</v>
      </c>
      <c r="H122" s="58">
        <v>0</v>
      </c>
      <c r="I122" s="59">
        <v>1</v>
      </c>
      <c r="K122" s="5" t="s">
        <v>14</v>
      </c>
      <c r="L122" s="4">
        <f>VLOOKUP($K122, $A$131:$E$163, 2)</f>
        <v>-249.99945163630457</v>
      </c>
      <c r="M122" s="6">
        <f>VLOOKUP($K122, $A$131:$E$163, 3)</f>
        <v>-62.394301291013335</v>
      </c>
    </row>
    <row r="123" spans="1:13" x14ac:dyDescent="0.2">
      <c r="A123" s="52">
        <f t="array" ref="A123:D126">MMULT(A118:D121,A113:D116)</f>
        <v>-0.69985581128119356</v>
      </c>
      <c r="B123" s="53">
        <v>0.59114580202029698</v>
      </c>
      <c r="C123" s="53">
        <v>0.40093451356764293</v>
      </c>
      <c r="D123" s="54">
        <v>0</v>
      </c>
      <c r="K123" s="5" t="s">
        <v>15</v>
      </c>
      <c r="L123" s="4">
        <f>VLOOKUP($K123, $A$131:$E$163, 2)</f>
        <v>-222.00521918505683</v>
      </c>
      <c r="M123" s="6">
        <f>VLOOKUP($K123, $A$131:$E$163, 3)</f>
        <v>-86.04013337182522</v>
      </c>
    </row>
    <row r="124" spans="1:13" x14ac:dyDescent="0.2">
      <c r="A124" s="55">
        <v>-0.71428414753229874</v>
      </c>
      <c r="B124" s="4">
        <v>-0.5792048252613351</v>
      </c>
      <c r="C124" s="4">
        <v>-0.39283575063637449</v>
      </c>
      <c r="D124" s="56">
        <v>0</v>
      </c>
      <c r="K124" s="5" t="s">
        <v>4</v>
      </c>
      <c r="L124" s="4">
        <f>VLOOKUP($K124, $A$131:$E$163, 2)</f>
        <v>-72.005548203274031</v>
      </c>
      <c r="M124" s="6">
        <f>VLOOKUP($K124, $A$131:$E$163, 3)</f>
        <v>35.592879933055201</v>
      </c>
    </row>
    <row r="125" spans="1:13" x14ac:dyDescent="0.2">
      <c r="A125" s="55">
        <v>0</v>
      </c>
      <c r="B125" s="4">
        <v>0.56130955020181728</v>
      </c>
      <c r="C125" s="4">
        <v>-0.82760593814461825</v>
      </c>
      <c r="D125" s="56">
        <v>0</v>
      </c>
      <c r="K125" s="5" t="s">
        <v>13</v>
      </c>
      <c r="L125" s="4">
        <f>VLOOKUP($K125, $A$131:$E$163, 2)</f>
        <v>-99.999780654521771</v>
      </c>
      <c r="M125" s="6">
        <f>VLOOKUP($K125, $A$131:$E$163, 3)</f>
        <v>59.238712013867143</v>
      </c>
    </row>
    <row r="126" spans="1:13" x14ac:dyDescent="0.2">
      <c r="A126" s="57">
        <v>277.99368408755231</v>
      </c>
      <c r="B126" s="58">
        <v>-522.56108099161656</v>
      </c>
      <c r="C126" s="58">
        <v>4478.7999986871819</v>
      </c>
      <c r="D126" s="59">
        <v>1</v>
      </c>
      <c r="K126" s="5"/>
      <c r="L126" s="4"/>
      <c r="M126" s="6"/>
    </row>
    <row r="127" spans="1:13" x14ac:dyDescent="0.2">
      <c r="K127" s="5" t="s">
        <v>12</v>
      </c>
      <c r="L127" s="4">
        <f>VLOOKUP($K127, $A$131:$E$163, 2)</f>
        <v>-99.999780654521771</v>
      </c>
      <c r="M127" s="6">
        <f>VLOOKUP($K127, $A$131:$E$163, 3)</f>
        <v>620.54826221568442</v>
      </c>
    </row>
    <row r="128" spans="1:13" ht="15.75" x14ac:dyDescent="0.25">
      <c r="A128" s="63" t="s">
        <v>57</v>
      </c>
      <c r="B128" s="62"/>
      <c r="C128" s="62"/>
      <c r="D128" s="62"/>
      <c r="E128" s="62"/>
      <c r="K128" s="5" t="s">
        <v>29</v>
      </c>
      <c r="L128" s="4">
        <f>VLOOKUP($K128, $A$131:$E$163, 2)</f>
        <v>-72.005548203274031</v>
      </c>
      <c r="M128" s="6">
        <f>VLOOKUP($K128, $A$131:$E$163, 3)</f>
        <v>596.90243013487247</v>
      </c>
    </row>
    <row r="129" spans="1:13" x14ac:dyDescent="0.2">
      <c r="A129" s="41" t="s">
        <v>60</v>
      </c>
      <c r="K129" s="5" t="s">
        <v>9</v>
      </c>
      <c r="L129" s="4">
        <f>VLOOKUP($K129, $A$131:$E$163, 2)</f>
        <v>127.99401310576957</v>
      </c>
      <c r="M129" s="6">
        <f>VLOOKUP($K129, $A$131:$E$163, 3)</f>
        <v>759.07978120804637</v>
      </c>
    </row>
    <row r="130" spans="1:13" ht="16.5" thickBot="1" x14ac:dyDescent="0.3">
      <c r="A130" s="63"/>
      <c r="B130" s="63" t="s">
        <v>26</v>
      </c>
      <c r="C130" s="63" t="s">
        <v>27</v>
      </c>
      <c r="D130" s="63" t="s">
        <v>21</v>
      </c>
      <c r="E130" s="63" t="s">
        <v>4</v>
      </c>
      <c r="K130" s="5" t="s">
        <v>5</v>
      </c>
      <c r="L130" s="4">
        <f>VLOOKUP($K130, $A$131:$E$163, 2)</f>
        <v>99.999780654521828</v>
      </c>
      <c r="M130" s="6">
        <f>VLOOKUP($K130, $A$131:$E$163, 3)</f>
        <v>782.72561328885809</v>
      </c>
    </row>
    <row r="131" spans="1:13" x14ac:dyDescent="0.2">
      <c r="A131" s="20" t="s">
        <v>3</v>
      </c>
      <c r="B131" s="28">
        <f t="array" ref="B131:E163">MMULT(B46:E78,A123:D126)</f>
        <v>277.99368408755231</v>
      </c>
      <c r="C131" s="29">
        <v>-522.56108099161656</v>
      </c>
      <c r="D131" s="29">
        <v>4478.7999986871819</v>
      </c>
      <c r="E131" s="30">
        <v>1</v>
      </c>
      <c r="K131" s="5" t="s">
        <v>12</v>
      </c>
      <c r="L131" s="4">
        <f>VLOOKUP($K131, $A$131:$E$163, 2)</f>
        <v>-99.999780654521771</v>
      </c>
      <c r="M131" s="6">
        <f>VLOOKUP($K131, $A$131:$E$163, 3)</f>
        <v>620.54826221568442</v>
      </c>
    </row>
    <row r="132" spans="1:13" x14ac:dyDescent="0.2">
      <c r="A132" s="21" t="s">
        <v>30</v>
      </c>
      <c r="B132" s="4">
        <v>79.004106316086023</v>
      </c>
      <c r="C132" s="4">
        <v>-322.15911305416751</v>
      </c>
      <c r="D132" s="4">
        <v>4010.5669379309693</v>
      </c>
      <c r="E132" s="13">
        <v>1</v>
      </c>
      <c r="K132" s="5"/>
      <c r="L132" s="4"/>
      <c r="M132" s="6"/>
    </row>
    <row r="133" spans="1:13" x14ac:dyDescent="0.2">
      <c r="A133" s="21" t="s">
        <v>31</v>
      </c>
      <c r="B133" s="4">
        <v>-4.9785910376572247</v>
      </c>
      <c r="C133" s="4">
        <v>-251.22161681173185</v>
      </c>
      <c r="D133" s="4">
        <v>4058.6790795590864</v>
      </c>
      <c r="E133" s="13">
        <v>1</v>
      </c>
      <c r="K133" s="5" t="s">
        <v>6</v>
      </c>
      <c r="L133" s="4">
        <f t="shared" ref="L133:L141" si="12">VLOOKUP($K133, $A$131:$E$163, 2)</f>
        <v>277.99368408755231</v>
      </c>
      <c r="M133" s="6">
        <f t="shared" ref="M133:M141" si="13">VLOOKUP($K133, $A$131:$E$163, 3)</f>
        <v>319.40324431110935</v>
      </c>
    </row>
    <row r="134" spans="1:13" x14ac:dyDescent="0.2">
      <c r="A134" s="21" t="s">
        <v>32</v>
      </c>
      <c r="B134" s="4">
        <v>-55.98846490249548</v>
      </c>
      <c r="C134" s="4">
        <v>-373.69049848973958</v>
      </c>
      <c r="D134" s="4">
        <v>3975.6166585202591</v>
      </c>
      <c r="E134" s="13">
        <v>1</v>
      </c>
      <c r="K134" s="5" t="s">
        <v>3</v>
      </c>
      <c r="L134" s="4">
        <f t="shared" si="12"/>
        <v>277.99368408755231</v>
      </c>
      <c r="M134" s="6">
        <f t="shared" si="13"/>
        <v>-522.56108099161656</v>
      </c>
    </row>
    <row r="135" spans="1:13" x14ac:dyDescent="0.2">
      <c r="A135" s="21" t="s">
        <v>34</v>
      </c>
      <c r="B135" s="4">
        <v>74.9998354908914</v>
      </c>
      <c r="C135" s="4">
        <v>622.12605685425729</v>
      </c>
      <c r="D135" s="4">
        <v>2536.4792594985847</v>
      </c>
      <c r="E135" s="13">
        <v>1</v>
      </c>
      <c r="K135" s="5" t="s">
        <v>21</v>
      </c>
      <c r="L135" s="4">
        <f t="shared" si="12"/>
        <v>-222.00521918505683</v>
      </c>
      <c r="M135" s="6">
        <f t="shared" si="13"/>
        <v>-928.00445867455119</v>
      </c>
    </row>
    <row r="136" spans="1:13" x14ac:dyDescent="0.2">
      <c r="A136" s="21" t="s">
        <v>37</v>
      </c>
      <c r="B136" s="4">
        <v>0</v>
      </c>
      <c r="C136" s="4">
        <v>-3.4106051316484809E-13</v>
      </c>
      <c r="D136" s="4">
        <v>3322.8374438263836</v>
      </c>
      <c r="E136" s="13">
        <v>1</v>
      </c>
      <c r="K136" s="5" t="s">
        <v>15</v>
      </c>
      <c r="L136" s="4">
        <f t="shared" si="12"/>
        <v>-222.00521918505683</v>
      </c>
      <c r="M136" s="6">
        <f t="shared" si="13"/>
        <v>-86.04013337182522</v>
      </c>
    </row>
    <row r="137" spans="1:13" x14ac:dyDescent="0.2">
      <c r="A137" s="21" t="s">
        <v>38</v>
      </c>
      <c r="B137" s="4">
        <v>-74.999835490891371</v>
      </c>
      <c r="C137" s="4">
        <v>79.510880898013738</v>
      </c>
      <c r="D137" s="4">
        <v>3074.6882054734097</v>
      </c>
      <c r="E137" s="13">
        <v>1</v>
      </c>
      <c r="K137" s="5" t="s">
        <v>4</v>
      </c>
      <c r="L137" s="4">
        <f t="shared" si="12"/>
        <v>-72.005548203274031</v>
      </c>
      <c r="M137" s="6">
        <f t="shared" si="13"/>
        <v>35.592879933055201</v>
      </c>
    </row>
    <row r="138" spans="1:13" x14ac:dyDescent="0.2">
      <c r="A138" s="21" t="s">
        <v>39</v>
      </c>
      <c r="B138" s="4">
        <v>-361.97638144129553</v>
      </c>
      <c r="C138" s="4">
        <v>-529.12052316958307</v>
      </c>
      <c r="D138" s="4">
        <v>3870.1989068829389</v>
      </c>
      <c r="E138" s="13">
        <v>1</v>
      </c>
      <c r="K138" s="5" t="s">
        <v>29</v>
      </c>
      <c r="L138" s="4">
        <f t="shared" si="12"/>
        <v>-72.005548203274031</v>
      </c>
      <c r="M138" s="6">
        <f t="shared" si="13"/>
        <v>596.90243013487247</v>
      </c>
    </row>
    <row r="139" spans="1:13" x14ac:dyDescent="0.2">
      <c r="A139" s="21" t="s">
        <v>6</v>
      </c>
      <c r="B139" s="4">
        <v>277.99368408755231</v>
      </c>
      <c r="C139" s="4">
        <v>319.40324431110935</v>
      </c>
      <c r="D139" s="4">
        <v>3237.3910914702547</v>
      </c>
      <c r="E139" s="27">
        <v>1</v>
      </c>
      <c r="K139" s="5" t="s">
        <v>9</v>
      </c>
      <c r="L139" s="4">
        <f t="shared" si="12"/>
        <v>127.99401310576957</v>
      </c>
      <c r="M139" s="6">
        <f t="shared" si="13"/>
        <v>759.07978120804637</v>
      </c>
    </row>
    <row r="140" spans="1:13" x14ac:dyDescent="0.2">
      <c r="A140" s="21" t="s">
        <v>7</v>
      </c>
      <c r="B140" s="4">
        <v>249.99945163630457</v>
      </c>
      <c r="C140" s="4">
        <v>343.04907639192118</v>
      </c>
      <c r="D140" s="4">
        <v>3253.4284720129599</v>
      </c>
      <c r="E140" s="27">
        <v>1</v>
      </c>
      <c r="K140" s="5" t="s">
        <v>10</v>
      </c>
      <c r="L140" s="4">
        <f t="shared" si="12"/>
        <v>127.99401310576957</v>
      </c>
      <c r="M140" s="6">
        <f t="shared" si="13"/>
        <v>197.77023100622898</v>
      </c>
    </row>
    <row r="141" spans="1:13" x14ac:dyDescent="0.2">
      <c r="A141" s="21" t="s">
        <v>8</v>
      </c>
      <c r="B141" s="4">
        <v>99.999780654521828</v>
      </c>
      <c r="C141" s="4">
        <v>221.41606308704081</v>
      </c>
      <c r="D141" s="4">
        <v>3170.9329643793217</v>
      </c>
      <c r="E141" s="27">
        <v>1</v>
      </c>
      <c r="K141" s="5" t="s">
        <v>6</v>
      </c>
      <c r="L141" s="4">
        <f t="shared" si="12"/>
        <v>277.99368408755231</v>
      </c>
      <c r="M141" s="6">
        <f t="shared" si="13"/>
        <v>319.40324431110935</v>
      </c>
    </row>
    <row r="142" spans="1:13" x14ac:dyDescent="0.2">
      <c r="A142" s="21" t="s">
        <v>5</v>
      </c>
      <c r="B142" s="4">
        <v>99.999780654521828</v>
      </c>
      <c r="C142" s="4">
        <v>782.72561328885809</v>
      </c>
      <c r="D142" s="4">
        <v>2343.3270262347032</v>
      </c>
      <c r="E142" s="27">
        <v>1</v>
      </c>
      <c r="K142" s="5"/>
      <c r="L142" s="4"/>
      <c r="M142" s="6"/>
    </row>
    <row r="143" spans="1:13" x14ac:dyDescent="0.2">
      <c r="A143" s="21" t="s">
        <v>9</v>
      </c>
      <c r="B143" s="4">
        <v>127.99401310576957</v>
      </c>
      <c r="C143" s="4">
        <v>759.07978120804637</v>
      </c>
      <c r="D143" s="4">
        <v>2327.2896456919975</v>
      </c>
      <c r="E143" s="27">
        <v>1</v>
      </c>
      <c r="K143" s="5" t="s">
        <v>7</v>
      </c>
      <c r="L143" s="4">
        <f t="shared" ref="L143:L151" si="14">VLOOKUP($K143, $A$131:$E$163, 2)</f>
        <v>249.99945163630457</v>
      </c>
      <c r="M143" s="6">
        <f t="shared" ref="M143:M151" si="15">VLOOKUP($K143, $A$131:$E$163, 3)</f>
        <v>343.04907639192118</v>
      </c>
    </row>
    <row r="144" spans="1:13" x14ac:dyDescent="0.2">
      <c r="A144" s="21" t="s">
        <v>10</v>
      </c>
      <c r="B144" s="4">
        <v>127.99401310576957</v>
      </c>
      <c r="C144" s="4">
        <v>197.77023100622898</v>
      </c>
      <c r="D144" s="4">
        <v>3154.8955838366155</v>
      </c>
      <c r="E144" s="40">
        <v>1</v>
      </c>
      <c r="K144" s="5" t="s">
        <v>16</v>
      </c>
      <c r="L144" s="4">
        <f t="shared" si="14"/>
        <v>249.99945163630457</v>
      </c>
      <c r="M144" s="6">
        <f t="shared" si="15"/>
        <v>-218.26047380989604</v>
      </c>
    </row>
    <row r="145" spans="1:13" x14ac:dyDescent="0.2">
      <c r="A145" s="21" t="s">
        <v>4</v>
      </c>
      <c r="B145" s="4">
        <v>-72.005548203274031</v>
      </c>
      <c r="C145" s="4">
        <v>35.592879933055201</v>
      </c>
      <c r="D145" s="4">
        <v>3044.9015736584311</v>
      </c>
      <c r="E145" s="27">
        <v>1</v>
      </c>
      <c r="K145" s="5" t="s">
        <v>17</v>
      </c>
      <c r="L145" s="4">
        <f t="shared" si="14"/>
        <v>-249.99945163630457</v>
      </c>
      <c r="M145" s="6">
        <f t="shared" si="15"/>
        <v>-623.70385149283061</v>
      </c>
    </row>
    <row r="146" spans="1:13" x14ac:dyDescent="0.2">
      <c r="A146" s="21" t="s">
        <v>11</v>
      </c>
      <c r="B146" s="4">
        <v>-72.005548203274031</v>
      </c>
      <c r="C146" s="4">
        <v>596.90243013487247</v>
      </c>
      <c r="D146" s="4">
        <v>2217.2956355138126</v>
      </c>
      <c r="E146" s="13">
        <v>1</v>
      </c>
      <c r="K146" s="5" t="s">
        <v>14</v>
      </c>
      <c r="L146" s="4">
        <f t="shared" si="14"/>
        <v>-249.99945163630457</v>
      </c>
      <c r="M146" s="6">
        <f t="shared" si="15"/>
        <v>-62.394301291013335</v>
      </c>
    </row>
    <row r="147" spans="1:13" x14ac:dyDescent="0.2">
      <c r="A147" s="21" t="s">
        <v>12</v>
      </c>
      <c r="B147" s="4">
        <v>-99.999780654521771</v>
      </c>
      <c r="C147" s="4">
        <v>620.54826221568442</v>
      </c>
      <c r="D147" s="4">
        <v>2233.3330160565183</v>
      </c>
      <c r="E147" s="13">
        <v>1</v>
      </c>
      <c r="K147" s="5" t="s">
        <v>13</v>
      </c>
      <c r="L147" s="4">
        <f t="shared" si="14"/>
        <v>-99.999780654521771</v>
      </c>
      <c r="M147" s="6">
        <f t="shared" si="15"/>
        <v>59.238712013867143</v>
      </c>
    </row>
    <row r="148" spans="1:13" x14ac:dyDescent="0.2">
      <c r="A148" s="21" t="s">
        <v>13</v>
      </c>
      <c r="B148" s="4">
        <v>-99.999780654521771</v>
      </c>
      <c r="C148" s="4">
        <v>59.238712013867143</v>
      </c>
      <c r="D148" s="4">
        <v>3060.9389542011368</v>
      </c>
      <c r="E148" s="13">
        <v>1</v>
      </c>
      <c r="K148" s="5" t="s">
        <v>12</v>
      </c>
      <c r="L148" s="4">
        <f t="shared" si="14"/>
        <v>-99.999780654521771</v>
      </c>
      <c r="M148" s="6">
        <f t="shared" si="15"/>
        <v>620.54826221568442</v>
      </c>
    </row>
    <row r="149" spans="1:13" x14ac:dyDescent="0.2">
      <c r="A149" s="21" t="s">
        <v>14</v>
      </c>
      <c r="B149" s="4">
        <v>-249.99945163630457</v>
      </c>
      <c r="C149" s="4">
        <v>-62.394301291013335</v>
      </c>
      <c r="D149" s="4">
        <v>2978.4434465674981</v>
      </c>
      <c r="E149" s="13">
        <v>1</v>
      </c>
      <c r="K149" s="5" t="s">
        <v>5</v>
      </c>
      <c r="L149" s="4">
        <f t="shared" si="14"/>
        <v>99.999780654521828</v>
      </c>
      <c r="M149" s="6">
        <f t="shared" si="15"/>
        <v>782.72561328885809</v>
      </c>
    </row>
    <row r="150" spans="1:13" x14ac:dyDescent="0.2">
      <c r="A150" s="11" t="s">
        <v>15</v>
      </c>
      <c r="B150" s="5">
        <v>-222.00521918505683</v>
      </c>
      <c r="C150" s="4">
        <v>-86.04013337182522</v>
      </c>
      <c r="D150" s="4">
        <v>2962.4060660247924</v>
      </c>
      <c r="E150" s="13">
        <v>1</v>
      </c>
      <c r="K150" s="5" t="s">
        <v>8</v>
      </c>
      <c r="L150" s="4">
        <f t="shared" si="14"/>
        <v>99.999780654521828</v>
      </c>
      <c r="M150" s="6">
        <f t="shared" si="15"/>
        <v>221.41606308704081</v>
      </c>
    </row>
    <row r="151" spans="1:13" x14ac:dyDescent="0.2">
      <c r="A151" s="11" t="s">
        <v>21</v>
      </c>
      <c r="B151" s="5">
        <v>-222.00521918505683</v>
      </c>
      <c r="C151" s="4">
        <v>-928.00445867455119</v>
      </c>
      <c r="D151" s="4">
        <v>4203.8149732417196</v>
      </c>
      <c r="E151" s="13">
        <v>1</v>
      </c>
      <c r="K151" s="5" t="s">
        <v>7</v>
      </c>
      <c r="L151" s="4">
        <f t="shared" si="14"/>
        <v>249.99945163630457</v>
      </c>
      <c r="M151" s="6">
        <f t="shared" si="15"/>
        <v>343.04907639192118</v>
      </c>
    </row>
    <row r="152" spans="1:13" x14ac:dyDescent="0.2">
      <c r="A152" s="11" t="s">
        <v>22</v>
      </c>
      <c r="B152" s="5">
        <v>-319.98503276442398</v>
      </c>
      <c r="C152" s="4">
        <v>-845.24404639170962</v>
      </c>
      <c r="D152" s="4">
        <v>4259.9458051411893</v>
      </c>
      <c r="E152" s="13">
        <v>1</v>
      </c>
      <c r="K152" s="5"/>
      <c r="L152" s="4"/>
      <c r="M152" s="6"/>
    </row>
    <row r="153" spans="1:13" x14ac:dyDescent="0.2">
      <c r="A153" s="11" t="s">
        <v>23</v>
      </c>
      <c r="B153" s="5">
        <v>-319.98503276442398</v>
      </c>
      <c r="C153" s="4">
        <v>-564.58927129080098</v>
      </c>
      <c r="D153" s="4">
        <v>3846.1428360688806</v>
      </c>
      <c r="E153" s="13">
        <v>1</v>
      </c>
      <c r="K153" s="5" t="s">
        <v>28</v>
      </c>
      <c r="L153" s="4">
        <f>VLOOKUP($K153, $A$131:$E$163, 2)</f>
        <v>-19.985690800858436</v>
      </c>
      <c r="M153" s="6">
        <f>VLOOKUP($K153, $A$131:$E$163, 3)</f>
        <v>-321.32324468104019</v>
      </c>
    </row>
    <row r="154" spans="1:13" x14ac:dyDescent="0.2">
      <c r="A154" s="11" t="s">
        <v>17</v>
      </c>
      <c r="B154" s="5">
        <v>-249.99945163630457</v>
      </c>
      <c r="C154" s="4">
        <v>-623.70385149283061</v>
      </c>
      <c r="D154" s="4">
        <v>3806.0493847121161</v>
      </c>
      <c r="E154" s="13">
        <v>1</v>
      </c>
      <c r="K154" s="5" t="s">
        <v>0</v>
      </c>
      <c r="L154" s="4">
        <f>VLOOKUP($K154, $A$131:$E$163, 2)</f>
        <v>-19.985690800858436</v>
      </c>
      <c r="M154" s="6">
        <f>VLOOKUP($K154, $A$131:$E$163, 3)</f>
        <v>-601.97801978194889</v>
      </c>
    </row>
    <row r="155" spans="1:13" x14ac:dyDescent="0.2">
      <c r="A155" s="11" t="s">
        <v>16</v>
      </c>
      <c r="B155" s="5">
        <v>249.99945163630457</v>
      </c>
      <c r="C155" s="4">
        <v>-218.26047380989604</v>
      </c>
      <c r="D155" s="4">
        <v>4081.0344101575783</v>
      </c>
      <c r="E155" s="13">
        <v>1</v>
      </c>
      <c r="K155" s="5" t="s">
        <v>22</v>
      </c>
      <c r="L155" s="4">
        <f>VLOOKUP($K155, $A$131:$E$163, 2)</f>
        <v>-319.98503276442398</v>
      </c>
      <c r="M155" s="6">
        <f>VLOOKUP($K155, $A$131:$E$163, 3)</f>
        <v>-845.24404639170962</v>
      </c>
    </row>
    <row r="156" spans="1:13" x14ac:dyDescent="0.2">
      <c r="A156" s="11" t="s">
        <v>24</v>
      </c>
      <c r="B156" s="5">
        <v>138.02252183131361</v>
      </c>
      <c r="C156" s="4">
        <v>-123.67714548664856</v>
      </c>
      <c r="D156" s="4">
        <v>4145.1839323284012</v>
      </c>
      <c r="E156" s="13">
        <v>1</v>
      </c>
      <c r="K156" s="5" t="s">
        <v>23</v>
      </c>
      <c r="L156" s="4">
        <f>VLOOKUP($K156, $A$131:$E$163, 2)</f>
        <v>-319.98503276442398</v>
      </c>
      <c r="M156" s="6">
        <f>VLOOKUP($K156, $A$131:$E$163, 3)</f>
        <v>-564.58927129080098</v>
      </c>
    </row>
    <row r="157" spans="1:13" x14ac:dyDescent="0.2">
      <c r="A157" s="11" t="s">
        <v>25</v>
      </c>
      <c r="B157" s="5">
        <v>138.02252183131361</v>
      </c>
      <c r="C157" s="4">
        <v>-404.33192058755719</v>
      </c>
      <c r="D157" s="4">
        <v>4558.9869014007108</v>
      </c>
      <c r="E157" s="13">
        <v>1</v>
      </c>
      <c r="K157" s="5" t="s">
        <v>28</v>
      </c>
      <c r="L157" s="4">
        <f>VLOOKUP($K157, $A$131:$E$163, 2)</f>
        <v>-19.985690800858436</v>
      </c>
      <c r="M157" s="6">
        <f>VLOOKUP($K157, $A$131:$E$163, 3)</f>
        <v>-321.32324468104019</v>
      </c>
    </row>
    <row r="158" spans="1:13" x14ac:dyDescent="0.2">
      <c r="A158" s="11" t="s">
        <v>26</v>
      </c>
      <c r="B158" s="5">
        <v>-61.977039477730045</v>
      </c>
      <c r="C158" s="4">
        <v>-566.50927166073097</v>
      </c>
      <c r="D158" s="4">
        <v>4448.9928912225259</v>
      </c>
      <c r="E158" s="13">
        <v>1</v>
      </c>
      <c r="K158" s="5"/>
      <c r="L158" s="4"/>
      <c r="M158" s="6"/>
    </row>
    <row r="159" spans="1:13" x14ac:dyDescent="0.2">
      <c r="A159" s="11" t="s">
        <v>27</v>
      </c>
      <c r="B159" s="5">
        <v>-61.977039477730045</v>
      </c>
      <c r="C159" s="4">
        <v>-285.85449655982234</v>
      </c>
      <c r="D159" s="4">
        <v>4035.1899221502163</v>
      </c>
      <c r="E159" s="13">
        <v>1</v>
      </c>
      <c r="K159" s="5" t="s">
        <v>24</v>
      </c>
      <c r="L159" s="4">
        <f>VLOOKUP($K159, $A$131:$E$163, 2)</f>
        <v>138.02252183131361</v>
      </c>
      <c r="M159" s="6">
        <f>VLOOKUP($K159, $A$131:$E$163, 3)</f>
        <v>-123.67714548664856</v>
      </c>
    </row>
    <row r="160" spans="1:13" x14ac:dyDescent="0.2">
      <c r="A160" s="11" t="s">
        <v>28</v>
      </c>
      <c r="B160" s="5">
        <v>-19.985690800858436</v>
      </c>
      <c r="C160" s="4">
        <v>-321.32324468104019</v>
      </c>
      <c r="D160" s="4">
        <v>4011.1338513361579</v>
      </c>
      <c r="E160" s="13">
        <v>1</v>
      </c>
      <c r="K160" s="5" t="s">
        <v>25</v>
      </c>
      <c r="L160" s="4">
        <f>VLOOKUP($K160, $A$131:$E$163, 2)</f>
        <v>138.02252183131361</v>
      </c>
      <c r="M160" s="6">
        <f>VLOOKUP($K160, $A$131:$E$163, 3)</f>
        <v>-404.33192058755719</v>
      </c>
    </row>
    <row r="161" spans="1:13" x14ac:dyDescent="0.2">
      <c r="A161" s="21" t="s">
        <v>0</v>
      </c>
      <c r="B161" s="4">
        <v>-19.985690800858436</v>
      </c>
      <c r="C161" s="4">
        <v>-601.97801978194889</v>
      </c>
      <c r="D161" s="4">
        <v>4424.9368204084667</v>
      </c>
      <c r="E161" s="13">
        <v>1</v>
      </c>
      <c r="K161" s="5" t="s">
        <v>26</v>
      </c>
      <c r="L161" s="4">
        <f>VLOOKUP($K161, $A$131:$E$163, 2)</f>
        <v>-61.977039477730045</v>
      </c>
      <c r="M161" s="6">
        <f>VLOOKUP($K161, $A$131:$E$163, 3)</f>
        <v>-566.50927166073097</v>
      </c>
    </row>
    <row r="162" spans="1:13" x14ac:dyDescent="0.2">
      <c r="A162" s="21" t="s">
        <v>1</v>
      </c>
      <c r="B162" s="4">
        <v>168.00105803260126</v>
      </c>
      <c r="C162" s="4">
        <v>-273.16552244213324</v>
      </c>
      <c r="D162" s="4">
        <v>4043.7960014764358</v>
      </c>
      <c r="E162" s="13">
        <v>1</v>
      </c>
      <c r="K162" s="5" t="s">
        <v>27</v>
      </c>
      <c r="L162" s="4">
        <f>VLOOKUP($K162, $A$131:$E$163, 2)</f>
        <v>-61.977039477730045</v>
      </c>
      <c r="M162" s="6">
        <f>VLOOKUP($K162, $A$131:$E$163, 3)</f>
        <v>-285.85449655982234</v>
      </c>
    </row>
    <row r="163" spans="1:13" ht="13.5" thickBot="1" x14ac:dyDescent="0.25">
      <c r="A163" s="83" t="s">
        <v>2</v>
      </c>
      <c r="B163" s="26">
        <v>119.01115124291772</v>
      </c>
      <c r="C163" s="7">
        <v>-231.78531630071245</v>
      </c>
      <c r="D163" s="7">
        <v>4071.8614174261706</v>
      </c>
      <c r="E163" s="15">
        <v>1</v>
      </c>
      <c r="K163" s="5" t="s">
        <v>24</v>
      </c>
      <c r="L163" s="4">
        <f>VLOOKUP($K163, $A$131:$E$163, 2)</f>
        <v>138.02252183131361</v>
      </c>
      <c r="M163" s="6">
        <f>VLOOKUP($K163, $A$131:$E$163, 3)</f>
        <v>-123.67714548664856</v>
      </c>
    </row>
    <row r="164" spans="1:13" x14ac:dyDescent="0.2">
      <c r="K164" s="5"/>
      <c r="L164" s="4"/>
      <c r="M164" s="6"/>
    </row>
    <row r="165" spans="1:13" x14ac:dyDescent="0.2">
      <c r="K165" s="5" t="s">
        <v>1</v>
      </c>
      <c r="L165" s="4">
        <f>VLOOKUP($K165, $A$131:$E$163, 2)</f>
        <v>168.00105803260126</v>
      </c>
      <c r="M165" s="6">
        <f>VLOOKUP($K165, $A$131:$E$163, 3)</f>
        <v>-273.16552244213324</v>
      </c>
    </row>
    <row r="166" spans="1:13" x14ac:dyDescent="0.2">
      <c r="K166" s="5" t="s">
        <v>2</v>
      </c>
      <c r="L166" s="4">
        <f>VLOOKUP($K166, $A$131:$E$163, 2)</f>
        <v>119.01115124291772</v>
      </c>
      <c r="M166" s="6">
        <f>VLOOKUP($K166, $A$131:$E$163, 3)</f>
        <v>-231.78531630071245</v>
      </c>
    </row>
    <row r="167" spans="1:13" x14ac:dyDescent="0.2">
      <c r="K167" s="5" t="s">
        <v>32</v>
      </c>
      <c r="L167" s="4">
        <f>VLOOKUP($K167, $A$131:$E$163, 2)</f>
        <v>-55.98846490249548</v>
      </c>
      <c r="M167" s="6">
        <f>VLOOKUP($K167, $A$131:$E$163, 3)</f>
        <v>-373.69049848973958</v>
      </c>
    </row>
    <row r="168" spans="1:13" x14ac:dyDescent="0.2">
      <c r="K168" s="5"/>
      <c r="L168" s="4"/>
      <c r="M168" s="6"/>
    </row>
    <row r="169" spans="1:13" x14ac:dyDescent="0.2">
      <c r="K169" s="5" t="s">
        <v>30</v>
      </c>
      <c r="L169" s="4">
        <f>VLOOKUP($K169, $A$131:$E$163, 2)</f>
        <v>79.004106316086023</v>
      </c>
      <c r="M169" s="6">
        <f>VLOOKUP($K169, $A$131:$E$163, 3)</f>
        <v>-322.15911305416751</v>
      </c>
    </row>
    <row r="170" spans="1:13" x14ac:dyDescent="0.2">
      <c r="K170" s="5" t="s">
        <v>31</v>
      </c>
      <c r="L170" s="4">
        <f>VLOOKUP($K170, $A$131:$E$163, 2)</f>
        <v>-4.9785910376572247</v>
      </c>
      <c r="M170" s="6">
        <f>VLOOKUP($K170, $A$131:$E$163, 3)</f>
        <v>-251.22161681173185</v>
      </c>
    </row>
    <row r="171" spans="1:13" x14ac:dyDescent="0.2">
      <c r="K171" s="5"/>
      <c r="L171" s="4"/>
      <c r="M171" s="6"/>
    </row>
    <row r="172" spans="1:13" x14ac:dyDescent="0.2">
      <c r="K172" s="5" t="s">
        <v>34</v>
      </c>
      <c r="L172" s="4">
        <f>VLOOKUP($K172, $A$131:$E$163, 2)</f>
        <v>74.9998354908914</v>
      </c>
      <c r="M172" s="6">
        <f>VLOOKUP($K172, $A$131:$E$163, 3)</f>
        <v>622.12605685425729</v>
      </c>
    </row>
    <row r="173" spans="1:13" x14ac:dyDescent="0.2">
      <c r="K173" s="5" t="s">
        <v>37</v>
      </c>
      <c r="L173" s="4">
        <f>VLOOKUP($K173, $A$131:$E$163, 2)</f>
        <v>0</v>
      </c>
      <c r="M173" s="6">
        <f>VLOOKUP($K173, $A$131:$E$163, 3)</f>
        <v>-3.4106051316484809E-13</v>
      </c>
    </row>
    <row r="174" spans="1:13" ht="13.5" thickBot="1" x14ac:dyDescent="0.25">
      <c r="K174" s="26" t="s">
        <v>38</v>
      </c>
      <c r="L174" s="7">
        <f>VLOOKUP($K174, $A$131:$E$163, 2)</f>
        <v>-74.999835490891371</v>
      </c>
      <c r="M174" s="8">
        <f>VLOOKUP($K174, $A$131:$E$163, 3)</f>
        <v>79.510880898013738</v>
      </c>
    </row>
    <row r="190" spans="1:13" ht="15.75" x14ac:dyDescent="0.25">
      <c r="A190" s="63" t="s">
        <v>70</v>
      </c>
      <c r="B190" s="63"/>
      <c r="C190" s="63"/>
      <c r="D190" s="63"/>
      <c r="E190" s="63"/>
      <c r="F190" s="63"/>
      <c r="G190" s="63"/>
      <c r="H190" s="63"/>
      <c r="I190" s="63"/>
      <c r="J190" s="63"/>
      <c r="K190" s="63"/>
      <c r="L190" s="63"/>
      <c r="M190" s="63"/>
    </row>
    <row r="192" spans="1:13" ht="16.5" thickBot="1" x14ac:dyDescent="0.3">
      <c r="A192" s="41" t="s">
        <v>71</v>
      </c>
      <c r="E192" s="41" t="s">
        <v>72</v>
      </c>
      <c r="K192" s="63"/>
      <c r="L192" s="63" t="s">
        <v>73</v>
      </c>
      <c r="M192" s="63" t="s">
        <v>74</v>
      </c>
    </row>
    <row r="193" spans="1:13" ht="16.5" thickBot="1" x14ac:dyDescent="0.3">
      <c r="A193" s="63" t="s">
        <v>26</v>
      </c>
      <c r="B193" s="63" t="s">
        <v>27</v>
      </c>
      <c r="C193" s="63" t="s">
        <v>21</v>
      </c>
      <c r="E193" s="52">
        <v>1</v>
      </c>
      <c r="F193" s="53">
        <v>0</v>
      </c>
      <c r="G193" s="53">
        <v>0</v>
      </c>
      <c r="H193" s="54">
        <v>0</v>
      </c>
      <c r="K193" s="22" t="s">
        <v>3</v>
      </c>
      <c r="L193" s="9">
        <f t="shared" ref="L193:L199" si="16">VLOOKUP($K193, $A$199:$G$231, 6)</f>
        <v>27.917739632125624</v>
      </c>
      <c r="M193" s="10">
        <f t="shared" ref="M193:M199" si="17">VLOOKUP($K193, $A$199:$G$231, 7)</f>
        <v>-52.478617450932582</v>
      </c>
    </row>
    <row r="194" spans="1:13" ht="13.5" thickBot="1" x14ac:dyDescent="0.25">
      <c r="A194" s="57">
        <v>0</v>
      </c>
      <c r="B194" s="58">
        <v>0</v>
      </c>
      <c r="C194" s="59">
        <v>-500</v>
      </c>
      <c r="E194" s="55">
        <v>0</v>
      </c>
      <c r="F194" s="4">
        <v>1</v>
      </c>
      <c r="G194" s="4">
        <v>0</v>
      </c>
      <c r="H194" s="56">
        <v>0</v>
      </c>
      <c r="K194" s="5" t="s">
        <v>25</v>
      </c>
      <c r="L194" s="9">
        <f t="shared" si="16"/>
        <v>13.641320339562307</v>
      </c>
      <c r="M194" s="10">
        <f t="shared" si="17"/>
        <v>-39.961748119530363</v>
      </c>
    </row>
    <row r="195" spans="1:13" ht="13.5" thickBot="1" x14ac:dyDescent="0.25">
      <c r="E195" s="55">
        <v>0</v>
      </c>
      <c r="F195" s="4">
        <v>0</v>
      </c>
      <c r="G195" s="4">
        <v>1</v>
      </c>
      <c r="H195" s="56">
        <f>-1/C194</f>
        <v>2E-3</v>
      </c>
      <c r="K195" s="5" t="s">
        <v>26</v>
      </c>
      <c r="L195" s="9">
        <f t="shared" si="16"/>
        <v>-6.2615809761670684</v>
      </c>
      <c r="M195" s="10">
        <f t="shared" si="17"/>
        <v>-57.234803536037099</v>
      </c>
    </row>
    <row r="196" spans="1:13" ht="13.5" thickBot="1" x14ac:dyDescent="0.25">
      <c r="E196" s="57">
        <v>0</v>
      </c>
      <c r="F196" s="58">
        <v>0</v>
      </c>
      <c r="G196" s="58">
        <v>0</v>
      </c>
      <c r="H196" s="59">
        <v>1</v>
      </c>
      <c r="K196" s="5" t="s">
        <v>0</v>
      </c>
      <c r="L196" s="9">
        <f t="shared" si="16"/>
        <v>-2.0290301713150556</v>
      </c>
      <c r="M196" s="10">
        <f t="shared" si="17"/>
        <v>-61.115303782924641</v>
      </c>
    </row>
    <row r="197" spans="1:13" ht="13.5" thickBot="1" x14ac:dyDescent="0.25">
      <c r="K197" s="5" t="s">
        <v>22</v>
      </c>
      <c r="L197" s="9">
        <f t="shared" si="16"/>
        <v>-33.612255881023898</v>
      </c>
      <c r="M197" s="10">
        <f t="shared" si="17"/>
        <v>-88.787150210698456</v>
      </c>
    </row>
    <row r="198" spans="1:13" ht="16.5" thickBot="1" x14ac:dyDescent="0.3">
      <c r="A198" s="63"/>
      <c r="B198" s="63" t="s">
        <v>76</v>
      </c>
      <c r="C198" s="63" t="s">
        <v>77</v>
      </c>
      <c r="D198" s="63" t="s">
        <v>78</v>
      </c>
      <c r="E198" s="63" t="s">
        <v>4</v>
      </c>
      <c r="F198" s="63" t="s">
        <v>73</v>
      </c>
      <c r="G198" s="63" t="s">
        <v>74</v>
      </c>
      <c r="H198" s="63" t="s">
        <v>75</v>
      </c>
      <c r="I198" s="63" t="s">
        <v>4</v>
      </c>
      <c r="K198" s="5" t="s">
        <v>21</v>
      </c>
      <c r="L198" s="9">
        <f t="shared" si="16"/>
        <v>-23.598421754253007</v>
      </c>
      <c r="M198" s="10">
        <f t="shared" si="17"/>
        <v>-98.643809753745487</v>
      </c>
    </row>
    <row r="199" spans="1:13" ht="13.5" thickBot="1" x14ac:dyDescent="0.25">
      <c r="A199" s="70" t="s">
        <v>3</v>
      </c>
      <c r="B199" s="67">
        <f t="array" ref="B199:E231">MMULT(B131:E163,E193:H196)</f>
        <v>277.99368408755231</v>
      </c>
      <c r="C199" s="67">
        <v>-522.56108099161656</v>
      </c>
      <c r="D199" s="67">
        <v>4478.7999986871819</v>
      </c>
      <c r="E199" s="67">
        <v>9.9575999973743645</v>
      </c>
      <c r="F199" s="53">
        <f t="shared" ref="F199:F231" si="18">$B199/$E199</f>
        <v>27.917739632125624</v>
      </c>
      <c r="G199" s="53">
        <f t="shared" ref="G199:G231" si="19">$C199/$E199</f>
        <v>-52.478617450932582</v>
      </c>
      <c r="H199" s="67">
        <f t="shared" ref="H199:H231" si="20">$D199/$E199</f>
        <v>449.78709727928003</v>
      </c>
      <c r="I199" s="54">
        <f t="shared" ref="I199:I231" si="21">$E199/$E199</f>
        <v>1</v>
      </c>
      <c r="K199" s="5" t="s">
        <v>3</v>
      </c>
      <c r="L199" s="9">
        <f t="shared" si="16"/>
        <v>27.917739632125624</v>
      </c>
      <c r="M199" s="10">
        <f t="shared" si="17"/>
        <v>-52.478617450932582</v>
      </c>
    </row>
    <row r="200" spans="1:13" ht="13.5" thickBot="1" x14ac:dyDescent="0.25">
      <c r="A200" s="71" t="s">
        <v>30</v>
      </c>
      <c r="B200" s="68">
        <v>79.004106316086023</v>
      </c>
      <c r="C200" s="68">
        <v>-322.15911305416751</v>
      </c>
      <c r="D200" s="68">
        <v>4010.5669379309693</v>
      </c>
      <c r="E200" s="68">
        <v>9.0211338758619384</v>
      </c>
      <c r="F200" s="4">
        <f t="shared" si="18"/>
        <v>8.7576692024800984</v>
      </c>
      <c r="G200" s="4">
        <f t="shared" si="19"/>
        <v>-35.711598728866697</v>
      </c>
      <c r="H200" s="68">
        <f t="shared" si="20"/>
        <v>444.57459484800887</v>
      </c>
      <c r="I200" s="56">
        <f t="shared" si="21"/>
        <v>1</v>
      </c>
      <c r="K200" s="5"/>
      <c r="L200" s="9"/>
      <c r="M200" s="10"/>
    </row>
    <row r="201" spans="1:13" ht="13.5" thickBot="1" x14ac:dyDescent="0.25">
      <c r="A201" s="71" t="s">
        <v>31</v>
      </c>
      <c r="B201" s="68">
        <v>-4.9785910376572247</v>
      </c>
      <c r="C201" s="68">
        <v>-251.22161681173185</v>
      </c>
      <c r="D201" s="68">
        <v>4058.6790795590864</v>
      </c>
      <c r="E201" s="68">
        <v>9.1173581591181723</v>
      </c>
      <c r="F201" s="4">
        <f t="shared" si="18"/>
        <v>-0.5460563192505703</v>
      </c>
      <c r="G201" s="4">
        <f t="shared" si="19"/>
        <v>-27.55421169458916</v>
      </c>
      <c r="H201" s="68">
        <f t="shared" si="20"/>
        <v>445.15955266055278</v>
      </c>
      <c r="I201" s="56">
        <f t="shared" si="21"/>
        <v>1</v>
      </c>
      <c r="K201" s="5" t="s">
        <v>16</v>
      </c>
      <c r="L201" s="9">
        <f t="shared" ref="L201:L207" si="22">VLOOKUP($K201, $A$199:$G$231, 6)</f>
        <v>27.286353828949416</v>
      </c>
      <c r="M201" s="10">
        <f t="shared" ref="M201:M207" si="23">VLOOKUP($K201, $A$199:$G$231, 7)</f>
        <v>-23.822182313883591</v>
      </c>
    </row>
    <row r="202" spans="1:13" ht="13.5" thickBot="1" x14ac:dyDescent="0.25">
      <c r="A202" s="71" t="s">
        <v>32</v>
      </c>
      <c r="B202" s="68">
        <v>-55.98846490249548</v>
      </c>
      <c r="C202" s="68">
        <v>-373.69049848973958</v>
      </c>
      <c r="D202" s="68">
        <v>3975.6166585202591</v>
      </c>
      <c r="E202" s="68">
        <v>8.9512333170405185</v>
      </c>
      <c r="F202" s="4">
        <f t="shared" si="18"/>
        <v>-6.2548324816771217</v>
      </c>
      <c r="G202" s="4">
        <f t="shared" si="19"/>
        <v>-41.747375501691224</v>
      </c>
      <c r="H202" s="68">
        <f t="shared" si="20"/>
        <v>444.14177551956476</v>
      </c>
      <c r="I202" s="56">
        <f t="shared" si="21"/>
        <v>1</v>
      </c>
      <c r="K202" s="5" t="s">
        <v>24</v>
      </c>
      <c r="L202" s="9">
        <f t="shared" si="22"/>
        <v>14.856518476129505</v>
      </c>
      <c r="M202" s="10">
        <f t="shared" si="23"/>
        <v>-13.312405632198002</v>
      </c>
    </row>
    <row r="203" spans="1:13" ht="13.5" thickBot="1" x14ac:dyDescent="0.25">
      <c r="A203" s="71" t="s">
        <v>34</v>
      </c>
      <c r="B203" s="68">
        <v>74.9998354908914</v>
      </c>
      <c r="C203" s="68">
        <v>622.12605685425729</v>
      </c>
      <c r="D203" s="68">
        <v>2536.4792594985847</v>
      </c>
      <c r="E203" s="68">
        <v>6.0729585189971695</v>
      </c>
      <c r="F203" s="4">
        <f t="shared" si="18"/>
        <v>12.349802037389209</v>
      </c>
      <c r="G203" s="4">
        <f t="shared" si="19"/>
        <v>102.44200662793087</v>
      </c>
      <c r="H203" s="68">
        <f t="shared" si="20"/>
        <v>417.66780582546028</v>
      </c>
      <c r="I203" s="56">
        <f t="shared" si="21"/>
        <v>1</v>
      </c>
      <c r="K203" s="5" t="s">
        <v>27</v>
      </c>
      <c r="L203" s="9">
        <f t="shared" si="22"/>
        <v>-6.8329045245745297</v>
      </c>
      <c r="M203" s="10">
        <f t="shared" si="23"/>
        <v>-31.515162701752246</v>
      </c>
    </row>
    <row r="204" spans="1:13" ht="13.5" thickBot="1" x14ac:dyDescent="0.25">
      <c r="A204" s="71" t="s">
        <v>37</v>
      </c>
      <c r="B204" s="68">
        <v>0</v>
      </c>
      <c r="C204" s="68">
        <v>-3.4106051316484809E-13</v>
      </c>
      <c r="D204" s="68">
        <v>3322.8374438263836</v>
      </c>
      <c r="E204" s="68">
        <v>7.6456748876527669</v>
      </c>
      <c r="F204" s="4">
        <f t="shared" si="18"/>
        <v>0</v>
      </c>
      <c r="G204" s="4">
        <f t="shared" si="19"/>
        <v>-4.4608293993200924E-14</v>
      </c>
      <c r="H204" s="68">
        <f t="shared" si="20"/>
        <v>434.60354941230042</v>
      </c>
      <c r="I204" s="56">
        <f t="shared" si="21"/>
        <v>1</v>
      </c>
      <c r="K204" s="5" t="s">
        <v>28</v>
      </c>
      <c r="L204" s="9">
        <f t="shared" si="22"/>
        <v>-2.2151516070553803</v>
      </c>
      <c r="M204" s="10">
        <f t="shared" si="23"/>
        <v>-35.614465816156958</v>
      </c>
    </row>
    <row r="205" spans="1:13" ht="13.5" thickBot="1" x14ac:dyDescent="0.25">
      <c r="A205" s="71" t="s">
        <v>38</v>
      </c>
      <c r="B205" s="68">
        <v>-74.999835490891371</v>
      </c>
      <c r="C205" s="68">
        <v>79.510880898013738</v>
      </c>
      <c r="D205" s="68">
        <v>3074.6882054734097</v>
      </c>
      <c r="E205" s="68">
        <v>7.1493764109468199</v>
      </c>
      <c r="F205" s="4">
        <f t="shared" si="18"/>
        <v>-10.49040240433485</v>
      </c>
      <c r="G205" s="4">
        <f t="shared" si="19"/>
        <v>11.121372876139249</v>
      </c>
      <c r="H205" s="68">
        <f t="shared" si="20"/>
        <v>430.06383056927569</v>
      </c>
      <c r="I205" s="56">
        <f t="shared" si="21"/>
        <v>1</v>
      </c>
      <c r="K205" s="5" t="s">
        <v>23</v>
      </c>
      <c r="L205" s="9">
        <f t="shared" si="22"/>
        <v>-36.812530654635928</v>
      </c>
      <c r="M205" s="10">
        <f t="shared" si="23"/>
        <v>-64.952912569421713</v>
      </c>
    </row>
    <row r="206" spans="1:13" ht="13.5" thickBot="1" x14ac:dyDescent="0.25">
      <c r="A206" s="71" t="s">
        <v>39</v>
      </c>
      <c r="B206" s="68">
        <v>-361.97638144129553</v>
      </c>
      <c r="C206" s="68">
        <v>-529.12052316958307</v>
      </c>
      <c r="D206" s="68">
        <v>3870.1989068829389</v>
      </c>
      <c r="E206" s="68">
        <v>8.7403978137658775</v>
      </c>
      <c r="F206" s="4">
        <f t="shared" si="18"/>
        <v>-41.414176923525503</v>
      </c>
      <c r="G206" s="4">
        <f t="shared" si="19"/>
        <v>-60.537350180587126</v>
      </c>
      <c r="H206" s="68">
        <f t="shared" si="20"/>
        <v>442.79436581107166</v>
      </c>
      <c r="I206" s="56">
        <f t="shared" si="21"/>
        <v>1</v>
      </c>
      <c r="K206" s="5" t="s">
        <v>17</v>
      </c>
      <c r="L206" s="9">
        <f t="shared" si="22"/>
        <v>-29.028864894569534</v>
      </c>
      <c r="M206" s="10">
        <f t="shared" si="23"/>
        <v>-72.421818210815616</v>
      </c>
    </row>
    <row r="207" spans="1:13" ht="13.5" thickBot="1" x14ac:dyDescent="0.25">
      <c r="A207" s="71" t="s">
        <v>6</v>
      </c>
      <c r="B207" s="68">
        <v>277.99368408755231</v>
      </c>
      <c r="C207" s="68">
        <v>319.40324431110935</v>
      </c>
      <c r="D207" s="68">
        <v>3237.3910914702547</v>
      </c>
      <c r="E207" s="68">
        <v>7.4747821829405092</v>
      </c>
      <c r="F207" s="4">
        <f t="shared" si="18"/>
        <v>37.19087423336692</v>
      </c>
      <c r="G207" s="4">
        <f t="shared" si="19"/>
        <v>42.730776160952843</v>
      </c>
      <c r="H207" s="68">
        <f t="shared" si="20"/>
        <v>433.10841871203468</v>
      </c>
      <c r="I207" s="56">
        <f t="shared" si="21"/>
        <v>1</v>
      </c>
      <c r="K207" s="5" t="s">
        <v>16</v>
      </c>
      <c r="L207" s="9">
        <f t="shared" si="22"/>
        <v>27.286353828949416</v>
      </c>
      <c r="M207" s="10">
        <f t="shared" si="23"/>
        <v>-23.822182313883591</v>
      </c>
    </row>
    <row r="208" spans="1:13" ht="13.5" thickBot="1" x14ac:dyDescent="0.25">
      <c r="A208" s="71" t="s">
        <v>7</v>
      </c>
      <c r="B208" s="68">
        <v>249.99945163630457</v>
      </c>
      <c r="C208" s="68">
        <v>343.04907639192118</v>
      </c>
      <c r="D208" s="68">
        <v>3253.4284720129599</v>
      </c>
      <c r="E208" s="68">
        <v>7.5068569440259196</v>
      </c>
      <c r="F208" s="4">
        <f t="shared" si="18"/>
        <v>33.302812815056804</v>
      </c>
      <c r="G208" s="4">
        <f t="shared" si="19"/>
        <v>45.698096946542357</v>
      </c>
      <c r="H208" s="68">
        <f t="shared" si="20"/>
        <v>433.39422827313791</v>
      </c>
      <c r="I208" s="56">
        <f t="shared" si="21"/>
        <v>1</v>
      </c>
      <c r="K208" s="5"/>
      <c r="L208" s="9"/>
      <c r="M208" s="10"/>
    </row>
    <row r="209" spans="1:13" ht="13.5" thickBot="1" x14ac:dyDescent="0.25">
      <c r="A209" s="71" t="s">
        <v>8</v>
      </c>
      <c r="B209" s="68">
        <v>99.999780654521828</v>
      </c>
      <c r="C209" s="68">
        <v>221.41606308704081</v>
      </c>
      <c r="D209" s="68">
        <v>3170.9329643793217</v>
      </c>
      <c r="E209" s="68">
        <v>7.3418659287586436</v>
      </c>
      <c r="F209" s="4">
        <f t="shared" si="18"/>
        <v>13.620485803590492</v>
      </c>
      <c r="G209" s="4">
        <f t="shared" si="19"/>
        <v>30.158009589869703</v>
      </c>
      <c r="H209" s="68">
        <f t="shared" si="20"/>
        <v>431.89742160212131</v>
      </c>
      <c r="I209" s="56">
        <f t="shared" si="21"/>
        <v>1</v>
      </c>
      <c r="K209" s="5" t="s">
        <v>6</v>
      </c>
      <c r="L209" s="9">
        <f>VLOOKUP($K209, $A$199:$G$231, 6)</f>
        <v>37.19087423336692</v>
      </c>
      <c r="M209" s="10">
        <f>VLOOKUP($K209, $A$199:$G$231, 7)</f>
        <v>42.730776160952843</v>
      </c>
    </row>
    <row r="210" spans="1:13" ht="13.5" thickBot="1" x14ac:dyDescent="0.25">
      <c r="A210" s="71" t="s">
        <v>5</v>
      </c>
      <c r="B210" s="68">
        <v>99.999780654521828</v>
      </c>
      <c r="C210" s="68">
        <v>782.72561328885809</v>
      </c>
      <c r="D210" s="68">
        <v>2343.3270262347032</v>
      </c>
      <c r="E210" s="68">
        <v>5.6866540524694065</v>
      </c>
      <c r="F210" s="4">
        <f t="shared" si="18"/>
        <v>17.584994573583622</v>
      </c>
      <c r="G210" s="4">
        <f t="shared" si="19"/>
        <v>137.64255853562301</v>
      </c>
      <c r="H210" s="68">
        <f t="shared" si="20"/>
        <v>412.07483427220672</v>
      </c>
      <c r="I210" s="56">
        <f t="shared" si="21"/>
        <v>1</v>
      </c>
      <c r="K210" s="5" t="s">
        <v>7</v>
      </c>
      <c r="L210" s="9">
        <f>VLOOKUP($K210, $A$199:$G$231, 6)</f>
        <v>33.302812815056804</v>
      </c>
      <c r="M210" s="10">
        <f>VLOOKUP($K210, $A$199:$G$231, 7)</f>
        <v>45.698096946542357</v>
      </c>
    </row>
    <row r="211" spans="1:13" ht="13.5" thickBot="1" x14ac:dyDescent="0.25">
      <c r="A211" s="71" t="s">
        <v>9</v>
      </c>
      <c r="B211" s="68">
        <v>127.99401310576957</v>
      </c>
      <c r="C211" s="68">
        <v>759.07978120804637</v>
      </c>
      <c r="D211" s="68">
        <v>2327.2896456919975</v>
      </c>
      <c r="E211" s="68">
        <v>5.6545792913839952</v>
      </c>
      <c r="F211" s="4">
        <f t="shared" si="18"/>
        <v>22.635461722288838</v>
      </c>
      <c r="G211" s="4">
        <f t="shared" si="19"/>
        <v>134.24160173413301</v>
      </c>
      <c r="H211" s="68">
        <f t="shared" si="20"/>
        <v>411.57609183023379</v>
      </c>
      <c r="I211" s="56">
        <f t="shared" si="21"/>
        <v>1</v>
      </c>
      <c r="K211" s="5" t="s">
        <v>8</v>
      </c>
      <c r="L211" s="9">
        <f>VLOOKUP($K211, $A$199:$G$231, 6)</f>
        <v>13.620485803590492</v>
      </c>
      <c r="M211" s="10">
        <f>VLOOKUP($K211, $A$199:$G$231, 7)</f>
        <v>30.158009589869703</v>
      </c>
    </row>
    <row r="212" spans="1:13" ht="13.5" thickBot="1" x14ac:dyDescent="0.25">
      <c r="A212" s="71" t="s">
        <v>10</v>
      </c>
      <c r="B212" s="68">
        <v>127.99401310576957</v>
      </c>
      <c r="C212" s="68">
        <v>197.77023100622898</v>
      </c>
      <c r="D212" s="68">
        <v>3154.8955838366155</v>
      </c>
      <c r="E212" s="68">
        <v>7.3097911676732314</v>
      </c>
      <c r="F212" s="4">
        <f t="shared" si="18"/>
        <v>17.509941141931577</v>
      </c>
      <c r="G212" s="4">
        <f t="shared" si="19"/>
        <v>27.055524086768258</v>
      </c>
      <c r="H212" s="68">
        <f t="shared" si="20"/>
        <v>431.5985931019211</v>
      </c>
      <c r="I212" s="56">
        <f t="shared" si="21"/>
        <v>1</v>
      </c>
      <c r="K212" s="5" t="s">
        <v>10</v>
      </c>
      <c r="L212" s="9">
        <f>VLOOKUP($K212, $A$199:$G$231, 6)</f>
        <v>17.509941141931577</v>
      </c>
      <c r="M212" s="10">
        <f>VLOOKUP($K212, $A$199:$G$231, 7)</f>
        <v>27.055524086768258</v>
      </c>
    </row>
    <row r="213" spans="1:13" ht="13.5" thickBot="1" x14ac:dyDescent="0.25">
      <c r="A213" s="71" t="s">
        <v>4</v>
      </c>
      <c r="B213" s="68">
        <v>-72.005548203274031</v>
      </c>
      <c r="C213" s="68">
        <v>35.592879933055201</v>
      </c>
      <c r="D213" s="68">
        <v>3044.9015736584311</v>
      </c>
      <c r="E213" s="68">
        <v>7.0898031473168626</v>
      </c>
      <c r="F213" s="4">
        <f t="shared" si="18"/>
        <v>-10.156212620730457</v>
      </c>
      <c r="G213" s="4">
        <f t="shared" si="19"/>
        <v>5.0202917053522613</v>
      </c>
      <c r="H213" s="68">
        <f t="shared" si="20"/>
        <v>429.47618014059736</v>
      </c>
      <c r="I213" s="56">
        <f t="shared" si="21"/>
        <v>1</v>
      </c>
      <c r="K213" s="5" t="s">
        <v>6</v>
      </c>
      <c r="L213" s="9">
        <f>VLOOKUP($K213, $A$199:$G$231, 6)</f>
        <v>37.19087423336692</v>
      </c>
      <c r="M213" s="10">
        <f>VLOOKUP($K213, $A$199:$G$231, 7)</f>
        <v>42.730776160952843</v>
      </c>
    </row>
    <row r="214" spans="1:13" ht="13.5" thickBot="1" x14ac:dyDescent="0.25">
      <c r="A214" s="71" t="s">
        <v>11</v>
      </c>
      <c r="B214" s="68">
        <v>-72.005548203274031</v>
      </c>
      <c r="C214" s="68">
        <v>596.90243013487247</v>
      </c>
      <c r="D214" s="68">
        <v>2217.2956355138126</v>
      </c>
      <c r="E214" s="68">
        <v>5.4345912710276254</v>
      </c>
      <c r="F214" s="4">
        <f t="shared" si="18"/>
        <v>-13.249487332588036</v>
      </c>
      <c r="G214" s="4">
        <f t="shared" si="19"/>
        <v>109.83391397197096</v>
      </c>
      <c r="H214" s="68">
        <f t="shared" si="20"/>
        <v>407.99676092192021</v>
      </c>
      <c r="I214" s="56">
        <f t="shared" si="21"/>
        <v>1</v>
      </c>
      <c r="K214" s="5"/>
      <c r="L214" s="9"/>
      <c r="M214" s="10"/>
    </row>
    <row r="215" spans="1:13" ht="13.5" thickBot="1" x14ac:dyDescent="0.25">
      <c r="A215" s="71" t="s">
        <v>12</v>
      </c>
      <c r="B215" s="68">
        <v>-99.999780654521771</v>
      </c>
      <c r="C215" s="68">
        <v>620.54826221568442</v>
      </c>
      <c r="D215" s="68">
        <v>2233.3330160565183</v>
      </c>
      <c r="E215" s="68">
        <v>5.4666660321130367</v>
      </c>
      <c r="F215" s="4">
        <f t="shared" si="18"/>
        <v>-18.292644926009636</v>
      </c>
      <c r="G215" s="4">
        <f t="shared" si="19"/>
        <v>113.5149391915246</v>
      </c>
      <c r="H215" s="68">
        <f t="shared" si="20"/>
        <v>408.5365747490643</v>
      </c>
      <c r="I215" s="56">
        <f t="shared" si="21"/>
        <v>1</v>
      </c>
      <c r="K215" s="5" t="s">
        <v>13</v>
      </c>
      <c r="L215" s="9">
        <f>VLOOKUP($K215, $A$199:$G$231, 6)</f>
        <v>-14.041209627666277</v>
      </c>
      <c r="M215" s="10">
        <f>VLOOKUP($K215, $A$199:$G$231, 7)</f>
        <v>8.3178499794244285</v>
      </c>
    </row>
    <row r="216" spans="1:13" ht="13.5" thickBot="1" x14ac:dyDescent="0.25">
      <c r="A216" s="71" t="s">
        <v>13</v>
      </c>
      <c r="B216" s="68">
        <v>-99.999780654521771</v>
      </c>
      <c r="C216" s="68">
        <v>59.238712013867143</v>
      </c>
      <c r="D216" s="68">
        <v>3060.9389542011368</v>
      </c>
      <c r="E216" s="68">
        <v>7.1218779084022739</v>
      </c>
      <c r="F216" s="4">
        <f t="shared" si="18"/>
        <v>-14.041209627666277</v>
      </c>
      <c r="G216" s="4">
        <f t="shared" si="19"/>
        <v>8.3178499794244285</v>
      </c>
      <c r="H216" s="68">
        <f t="shared" si="20"/>
        <v>429.79379786753879</v>
      </c>
      <c r="I216" s="56">
        <f t="shared" si="21"/>
        <v>1</v>
      </c>
      <c r="K216" s="5" t="s">
        <v>14</v>
      </c>
      <c r="L216" s="9">
        <f>VLOOKUP($K216, $A$199:$G$231, 6)</f>
        <v>-35.935534884576342</v>
      </c>
      <c r="M216" s="10">
        <f>VLOOKUP($K216, $A$199:$G$231, 7)</f>
        <v>-8.9687100350278168</v>
      </c>
    </row>
    <row r="217" spans="1:13" ht="13.5" thickBot="1" x14ac:dyDescent="0.25">
      <c r="A217" s="71" t="s">
        <v>14</v>
      </c>
      <c r="B217" s="68">
        <v>-249.99945163630457</v>
      </c>
      <c r="C217" s="68">
        <v>-62.394301291013335</v>
      </c>
      <c r="D217" s="68">
        <v>2978.4434465674981</v>
      </c>
      <c r="E217" s="68">
        <v>6.9568868931349961</v>
      </c>
      <c r="F217" s="4">
        <f t="shared" si="18"/>
        <v>-35.935534884576342</v>
      </c>
      <c r="G217" s="4">
        <f t="shared" si="19"/>
        <v>-8.9687100350278168</v>
      </c>
      <c r="H217" s="68">
        <f t="shared" si="20"/>
        <v>428.1287725845599</v>
      </c>
      <c r="I217" s="56">
        <f t="shared" si="21"/>
        <v>1</v>
      </c>
      <c r="K217" s="5" t="s">
        <v>15</v>
      </c>
      <c r="L217" s="9">
        <f>VLOOKUP($K217, $A$199:$G$231, 6)</f>
        <v>-32.059385143109779</v>
      </c>
      <c r="M217" s="10">
        <f>VLOOKUP($K217, $A$199:$G$231, 7)</f>
        <v>-12.424905070509014</v>
      </c>
    </row>
    <row r="218" spans="1:13" ht="13.5" thickBot="1" x14ac:dyDescent="0.25">
      <c r="A218" s="71" t="s">
        <v>15</v>
      </c>
      <c r="B218" s="68">
        <v>-222.00521918505683</v>
      </c>
      <c r="C218" s="68">
        <v>-86.04013337182522</v>
      </c>
      <c r="D218" s="68">
        <v>2962.4060660247924</v>
      </c>
      <c r="E218" s="68">
        <v>6.9248121320495848</v>
      </c>
      <c r="F218" s="4">
        <f t="shared" si="18"/>
        <v>-32.059385143109779</v>
      </c>
      <c r="G218" s="4">
        <f t="shared" si="19"/>
        <v>-12.424905070509014</v>
      </c>
      <c r="H218" s="68">
        <f t="shared" si="20"/>
        <v>427.79587511321961</v>
      </c>
      <c r="I218" s="56">
        <f t="shared" si="21"/>
        <v>1</v>
      </c>
      <c r="K218" s="5" t="s">
        <v>4</v>
      </c>
      <c r="L218" s="9">
        <f>VLOOKUP($K218, $A$199:$G$231, 6)</f>
        <v>-10.156212620730457</v>
      </c>
      <c r="M218" s="10">
        <f>VLOOKUP($K218, $A$199:$G$231, 7)</f>
        <v>5.0202917053522613</v>
      </c>
    </row>
    <row r="219" spans="1:13" ht="13.5" thickBot="1" x14ac:dyDescent="0.25">
      <c r="A219" s="71" t="s">
        <v>21</v>
      </c>
      <c r="B219" s="68">
        <v>-222.00521918505683</v>
      </c>
      <c r="C219" s="68">
        <v>-928.00445867455119</v>
      </c>
      <c r="D219" s="68">
        <v>4203.8149732417196</v>
      </c>
      <c r="E219" s="68">
        <v>9.4076299464834392</v>
      </c>
      <c r="F219" s="4">
        <f t="shared" si="18"/>
        <v>-23.598421754253007</v>
      </c>
      <c r="G219" s="4">
        <f t="shared" si="19"/>
        <v>-98.643809753745487</v>
      </c>
      <c r="H219" s="68">
        <f t="shared" si="20"/>
        <v>446.85165096370531</v>
      </c>
      <c r="I219" s="56">
        <f t="shared" si="21"/>
        <v>1</v>
      </c>
      <c r="K219" s="5" t="s">
        <v>13</v>
      </c>
      <c r="L219" s="9">
        <f>VLOOKUP($K219, $A$199:$G$231, 6)</f>
        <v>-14.041209627666277</v>
      </c>
      <c r="M219" s="10">
        <f>VLOOKUP($K219, $A$199:$G$231, 7)</f>
        <v>8.3178499794244285</v>
      </c>
    </row>
    <row r="220" spans="1:13" ht="13.5" thickBot="1" x14ac:dyDescent="0.25">
      <c r="A220" s="71" t="s">
        <v>22</v>
      </c>
      <c r="B220" s="68">
        <v>-319.98503276442398</v>
      </c>
      <c r="C220" s="68">
        <v>-845.24404639170962</v>
      </c>
      <c r="D220" s="68">
        <v>4259.9458051411893</v>
      </c>
      <c r="E220" s="68">
        <v>9.5198916102823787</v>
      </c>
      <c r="F220" s="4">
        <f t="shared" si="18"/>
        <v>-33.612255881023898</v>
      </c>
      <c r="G220" s="4">
        <f t="shared" si="19"/>
        <v>-88.787150210698456</v>
      </c>
      <c r="H220" s="68">
        <f t="shared" si="20"/>
        <v>447.47839361322633</v>
      </c>
      <c r="I220" s="56">
        <f t="shared" si="21"/>
        <v>1</v>
      </c>
      <c r="K220" s="5"/>
      <c r="L220" s="9"/>
      <c r="M220" s="10"/>
    </row>
    <row r="221" spans="1:13" ht="13.5" thickBot="1" x14ac:dyDescent="0.25">
      <c r="A221" s="71" t="s">
        <v>23</v>
      </c>
      <c r="B221" s="68">
        <v>-319.98503276442398</v>
      </c>
      <c r="C221" s="68">
        <v>-564.58927129080098</v>
      </c>
      <c r="D221" s="68">
        <v>3846.1428360688806</v>
      </c>
      <c r="E221" s="68">
        <v>8.6922856721377606</v>
      </c>
      <c r="F221" s="4">
        <f t="shared" si="18"/>
        <v>-36.812530654635928</v>
      </c>
      <c r="G221" s="4">
        <f t="shared" si="19"/>
        <v>-64.952912569421713</v>
      </c>
      <c r="H221" s="68">
        <f t="shared" si="20"/>
        <v>442.47773038538082</v>
      </c>
      <c r="I221" s="56">
        <f t="shared" si="21"/>
        <v>1</v>
      </c>
      <c r="K221" s="5" t="s">
        <v>12</v>
      </c>
      <c r="L221" s="9">
        <f>VLOOKUP($K221, $A$199:$G$231, 6)</f>
        <v>-18.292644926009636</v>
      </c>
      <c r="M221" s="10">
        <f>VLOOKUP($K221, $A$199:$G$231, 7)</f>
        <v>113.5149391915246</v>
      </c>
    </row>
    <row r="222" spans="1:13" ht="13.5" thickBot="1" x14ac:dyDescent="0.25">
      <c r="A222" s="71" t="s">
        <v>17</v>
      </c>
      <c r="B222" s="68">
        <v>-249.99945163630457</v>
      </c>
      <c r="C222" s="68">
        <v>-623.70385149283061</v>
      </c>
      <c r="D222" s="68">
        <v>3806.0493847121161</v>
      </c>
      <c r="E222" s="68">
        <v>8.6120987694242324</v>
      </c>
      <c r="F222" s="4">
        <f t="shared" si="18"/>
        <v>-29.028864894569534</v>
      </c>
      <c r="G222" s="4">
        <f t="shared" si="19"/>
        <v>-72.421818210815616</v>
      </c>
      <c r="H222" s="68">
        <f t="shared" si="20"/>
        <v>441.94214286357658</v>
      </c>
      <c r="I222" s="56">
        <f t="shared" si="21"/>
        <v>1</v>
      </c>
      <c r="K222" s="5" t="s">
        <v>29</v>
      </c>
      <c r="L222" s="9">
        <f>VLOOKUP($K222, $A$199:$G$231, 6)</f>
        <v>-13.249487332588036</v>
      </c>
      <c r="M222" s="10">
        <f>VLOOKUP($K222, $A$199:$G$231, 7)</f>
        <v>109.83391397197096</v>
      </c>
    </row>
    <row r="223" spans="1:13" ht="13.5" thickBot="1" x14ac:dyDescent="0.25">
      <c r="A223" s="71" t="s">
        <v>16</v>
      </c>
      <c r="B223" s="68">
        <v>249.99945163630457</v>
      </c>
      <c r="C223" s="68">
        <v>-218.26047380989604</v>
      </c>
      <c r="D223" s="68">
        <v>4081.0344101575783</v>
      </c>
      <c r="E223" s="68">
        <v>9.1620688203151577</v>
      </c>
      <c r="F223" s="4">
        <f t="shared" si="18"/>
        <v>27.286353828949416</v>
      </c>
      <c r="G223" s="4">
        <f t="shared" si="19"/>
        <v>-23.822182313883591</v>
      </c>
      <c r="H223" s="68">
        <f t="shared" si="20"/>
        <v>445.42717263907201</v>
      </c>
      <c r="I223" s="56">
        <f t="shared" si="21"/>
        <v>1</v>
      </c>
      <c r="K223" s="5" t="s">
        <v>9</v>
      </c>
      <c r="L223" s="9">
        <f>VLOOKUP($K223, $A$199:$G$231, 6)</f>
        <v>22.635461722288838</v>
      </c>
      <c r="M223" s="10">
        <f>VLOOKUP($K223, $A$199:$G$231, 7)</f>
        <v>134.24160173413301</v>
      </c>
    </row>
    <row r="224" spans="1:13" ht="13.5" thickBot="1" x14ac:dyDescent="0.25">
      <c r="A224" s="71" t="s">
        <v>24</v>
      </c>
      <c r="B224" s="68">
        <v>138.02252183131361</v>
      </c>
      <c r="C224" s="68">
        <v>-123.67714548664856</v>
      </c>
      <c r="D224" s="68">
        <v>4145.1839323284012</v>
      </c>
      <c r="E224" s="68">
        <v>9.2903678646568029</v>
      </c>
      <c r="F224" s="4">
        <f t="shared" si="18"/>
        <v>14.856518476129505</v>
      </c>
      <c r="G224" s="4">
        <f t="shared" si="19"/>
        <v>-13.312405632198002</v>
      </c>
      <c r="H224" s="68">
        <f t="shared" si="20"/>
        <v>446.18081788750879</v>
      </c>
      <c r="I224" s="56">
        <f t="shared" si="21"/>
        <v>1</v>
      </c>
      <c r="K224" s="5" t="s">
        <v>5</v>
      </c>
      <c r="L224" s="9">
        <f>VLOOKUP($K224, $A$199:$G$231, 6)</f>
        <v>17.584994573583622</v>
      </c>
      <c r="M224" s="10">
        <f>VLOOKUP($K224, $A$199:$G$231, 7)</f>
        <v>137.64255853562301</v>
      </c>
    </row>
    <row r="225" spans="1:13" ht="13.5" thickBot="1" x14ac:dyDescent="0.25">
      <c r="A225" s="71" t="s">
        <v>25</v>
      </c>
      <c r="B225" s="68">
        <v>138.02252183131361</v>
      </c>
      <c r="C225" s="68">
        <v>-404.33192058755719</v>
      </c>
      <c r="D225" s="68">
        <v>4558.9869014007108</v>
      </c>
      <c r="E225" s="68">
        <v>10.117973802801421</v>
      </c>
      <c r="F225" s="4">
        <f t="shared" si="18"/>
        <v>13.641320339562307</v>
      </c>
      <c r="G225" s="4">
        <f t="shared" si="19"/>
        <v>-39.961748119530363</v>
      </c>
      <c r="H225" s="68">
        <f t="shared" si="20"/>
        <v>450.58299124459467</v>
      </c>
      <c r="I225" s="56">
        <f t="shared" si="21"/>
        <v>1</v>
      </c>
      <c r="K225" s="5" t="s">
        <v>12</v>
      </c>
      <c r="L225" s="9">
        <f>VLOOKUP($K225, $A$199:$G$231, 6)</f>
        <v>-18.292644926009636</v>
      </c>
      <c r="M225" s="10">
        <f>VLOOKUP($K225, $A$199:$G$231, 7)</f>
        <v>113.5149391915246</v>
      </c>
    </row>
    <row r="226" spans="1:13" ht="13.5" thickBot="1" x14ac:dyDescent="0.25">
      <c r="A226" s="71" t="s">
        <v>26</v>
      </c>
      <c r="B226" s="68">
        <v>-61.977039477730045</v>
      </c>
      <c r="C226" s="68">
        <v>-566.50927166073097</v>
      </c>
      <c r="D226" s="68">
        <v>4448.9928912225259</v>
      </c>
      <c r="E226" s="68">
        <v>9.8979857824450512</v>
      </c>
      <c r="F226" s="4">
        <f t="shared" si="18"/>
        <v>-6.2615809761670684</v>
      </c>
      <c r="G226" s="4">
        <f t="shared" si="19"/>
        <v>-57.234803536037099</v>
      </c>
      <c r="H226" s="68">
        <f t="shared" si="20"/>
        <v>449.48467183224352</v>
      </c>
      <c r="I226" s="56">
        <f t="shared" si="21"/>
        <v>1</v>
      </c>
      <c r="K226" s="5"/>
      <c r="L226" s="9"/>
      <c r="M226" s="10"/>
    </row>
    <row r="227" spans="1:13" ht="13.5" thickBot="1" x14ac:dyDescent="0.25">
      <c r="A227" s="71" t="s">
        <v>27</v>
      </c>
      <c r="B227" s="68">
        <v>-61.977039477730045</v>
      </c>
      <c r="C227" s="68">
        <v>-285.85449655982234</v>
      </c>
      <c r="D227" s="68">
        <v>4035.1899221502163</v>
      </c>
      <c r="E227" s="68">
        <v>9.0703798443004331</v>
      </c>
      <c r="F227" s="4">
        <f t="shared" si="18"/>
        <v>-6.8329045245745297</v>
      </c>
      <c r="G227" s="4">
        <f t="shared" si="19"/>
        <v>-31.515162701752246</v>
      </c>
      <c r="H227" s="68">
        <f t="shared" si="20"/>
        <v>444.87551694825811</v>
      </c>
      <c r="I227" s="56">
        <f t="shared" si="21"/>
        <v>1</v>
      </c>
      <c r="K227" s="5" t="s">
        <v>6</v>
      </c>
      <c r="L227" s="9">
        <f t="shared" ref="L227:L235" si="24">VLOOKUP($K227, $A$199:$G$231, 6)</f>
        <v>37.19087423336692</v>
      </c>
      <c r="M227" s="10">
        <f t="shared" ref="M227:M235" si="25">VLOOKUP($K227, $A$199:$G$231, 7)</f>
        <v>42.730776160952843</v>
      </c>
    </row>
    <row r="228" spans="1:13" ht="13.5" thickBot="1" x14ac:dyDescent="0.25">
      <c r="A228" s="71" t="s">
        <v>28</v>
      </c>
      <c r="B228" s="68">
        <v>-19.985690800858436</v>
      </c>
      <c r="C228" s="68">
        <v>-321.32324468104019</v>
      </c>
      <c r="D228" s="68">
        <v>4011.1338513361579</v>
      </c>
      <c r="E228" s="68">
        <v>9.0222677026723161</v>
      </c>
      <c r="F228" s="4">
        <f t="shared" si="18"/>
        <v>-2.2151516070553803</v>
      </c>
      <c r="G228" s="4">
        <f t="shared" si="19"/>
        <v>-35.614465816156958</v>
      </c>
      <c r="H228" s="68">
        <f t="shared" si="20"/>
        <v>444.58156014901834</v>
      </c>
      <c r="I228" s="56">
        <f t="shared" si="21"/>
        <v>1</v>
      </c>
      <c r="K228" s="5" t="s">
        <v>3</v>
      </c>
      <c r="L228" s="9">
        <f t="shared" si="24"/>
        <v>27.917739632125624</v>
      </c>
      <c r="M228" s="10">
        <f t="shared" si="25"/>
        <v>-52.478617450932582</v>
      </c>
    </row>
    <row r="229" spans="1:13" ht="13.5" thickBot="1" x14ac:dyDescent="0.25">
      <c r="A229" s="71" t="s">
        <v>0</v>
      </c>
      <c r="B229" s="68">
        <v>-19.985690800858436</v>
      </c>
      <c r="C229" s="68">
        <v>-601.97801978194889</v>
      </c>
      <c r="D229" s="68">
        <v>4424.9368204084667</v>
      </c>
      <c r="E229" s="68">
        <v>9.8498736408169343</v>
      </c>
      <c r="F229" s="4">
        <f t="shared" si="18"/>
        <v>-2.0290301713150556</v>
      </c>
      <c r="G229" s="4">
        <f t="shared" si="19"/>
        <v>-61.115303782924641</v>
      </c>
      <c r="H229" s="68">
        <f t="shared" si="20"/>
        <v>449.23792748690215</v>
      </c>
      <c r="I229" s="56">
        <f t="shared" si="21"/>
        <v>1</v>
      </c>
      <c r="K229" s="5" t="s">
        <v>21</v>
      </c>
      <c r="L229" s="9">
        <f t="shared" si="24"/>
        <v>-23.598421754253007</v>
      </c>
      <c r="M229" s="10">
        <f t="shared" si="25"/>
        <v>-98.643809753745487</v>
      </c>
    </row>
    <row r="230" spans="1:13" ht="13.5" thickBot="1" x14ac:dyDescent="0.25">
      <c r="A230" s="71" t="s">
        <v>1</v>
      </c>
      <c r="B230" s="68">
        <v>168.00105803260126</v>
      </c>
      <c r="C230" s="68">
        <v>-273.16552244213324</v>
      </c>
      <c r="D230" s="68">
        <v>4043.7960014764358</v>
      </c>
      <c r="E230" s="68">
        <v>9.0875920029528725</v>
      </c>
      <c r="F230" s="4">
        <f t="shared" si="18"/>
        <v>18.486861863738152</v>
      </c>
      <c r="G230" s="4">
        <f t="shared" si="19"/>
        <v>-30.059175450809448</v>
      </c>
      <c r="H230" s="68">
        <f t="shared" si="20"/>
        <v>444.97992429264724</v>
      </c>
      <c r="I230" s="56">
        <f t="shared" si="21"/>
        <v>1</v>
      </c>
      <c r="K230" s="5" t="s">
        <v>15</v>
      </c>
      <c r="L230" s="9">
        <f t="shared" si="24"/>
        <v>-32.059385143109779</v>
      </c>
      <c r="M230" s="10">
        <f t="shared" si="25"/>
        <v>-12.424905070509014</v>
      </c>
    </row>
    <row r="231" spans="1:13" ht="13.5" thickBot="1" x14ac:dyDescent="0.25">
      <c r="A231" s="72" t="s">
        <v>2</v>
      </c>
      <c r="B231" s="69">
        <v>119.01115124291772</v>
      </c>
      <c r="C231" s="69">
        <v>-231.78531630071245</v>
      </c>
      <c r="D231" s="69">
        <v>4071.8614174261706</v>
      </c>
      <c r="E231" s="69">
        <v>9.1437228348523423</v>
      </c>
      <c r="F231" s="58">
        <f t="shared" si="18"/>
        <v>13.015612283138456</v>
      </c>
      <c r="G231" s="58">
        <f t="shared" si="19"/>
        <v>-25.34911878750702</v>
      </c>
      <c r="H231" s="69">
        <f t="shared" si="20"/>
        <v>445.31767759908541</v>
      </c>
      <c r="I231" s="59">
        <f t="shared" si="21"/>
        <v>1</v>
      </c>
      <c r="K231" s="5" t="s">
        <v>4</v>
      </c>
      <c r="L231" s="9">
        <f t="shared" si="24"/>
        <v>-10.156212620730457</v>
      </c>
      <c r="M231" s="10">
        <f t="shared" si="25"/>
        <v>5.0202917053522613</v>
      </c>
    </row>
    <row r="232" spans="1:13" ht="13.5" thickBot="1" x14ac:dyDescent="0.25">
      <c r="K232" s="5" t="s">
        <v>29</v>
      </c>
      <c r="L232" s="9">
        <f t="shared" si="24"/>
        <v>-13.249487332588036</v>
      </c>
      <c r="M232" s="10">
        <f t="shared" si="25"/>
        <v>109.83391397197096</v>
      </c>
    </row>
    <row r="233" spans="1:13" ht="16.5" thickBot="1" x14ac:dyDescent="0.3">
      <c r="A233" s="63" t="s">
        <v>79</v>
      </c>
      <c r="B233" s="63"/>
      <c r="C233" s="63"/>
      <c r="D233" s="63"/>
      <c r="E233" s="63"/>
      <c r="F233" s="63"/>
      <c r="G233" s="63"/>
      <c r="H233" s="63"/>
      <c r="I233" s="63"/>
      <c r="K233" s="5" t="s">
        <v>9</v>
      </c>
      <c r="L233" s="9">
        <f t="shared" si="24"/>
        <v>22.635461722288838</v>
      </c>
      <c r="M233" s="10">
        <f t="shared" si="25"/>
        <v>134.24160173413301</v>
      </c>
    </row>
    <row r="234" spans="1:13" ht="13.5" thickBot="1" x14ac:dyDescent="0.25">
      <c r="K234" s="5" t="s">
        <v>10</v>
      </c>
      <c r="L234" s="9">
        <f t="shared" si="24"/>
        <v>17.509941141931577</v>
      </c>
      <c r="M234" s="10">
        <f t="shared" si="25"/>
        <v>27.055524086768258</v>
      </c>
    </row>
    <row r="235" spans="1:13" ht="16.5" thickBot="1" x14ac:dyDescent="0.3">
      <c r="A235" s="63"/>
      <c r="B235" s="63" t="s">
        <v>26</v>
      </c>
      <c r="C235" s="63" t="s">
        <v>27</v>
      </c>
      <c r="D235" s="63" t="s">
        <v>21</v>
      </c>
      <c r="F235" s="75" t="s">
        <v>80</v>
      </c>
      <c r="K235" s="5" t="s">
        <v>6</v>
      </c>
      <c r="L235" s="9">
        <f t="shared" si="24"/>
        <v>37.19087423336692</v>
      </c>
      <c r="M235" s="10">
        <f t="shared" si="25"/>
        <v>42.730776160952843</v>
      </c>
    </row>
    <row r="236" spans="1:13" ht="13.5" thickBot="1" x14ac:dyDescent="0.25">
      <c r="A236" s="52" t="s">
        <v>7</v>
      </c>
      <c r="B236" s="53">
        <f t="shared" ref="B236:B244" si="26">VLOOKUP($A236, $A$131:$E$163, 2)</f>
        <v>249.99945163630457</v>
      </c>
      <c r="C236" s="53">
        <f t="shared" ref="C236:C244" si="27">VLOOKUP($A236, $A$131:$E$163, 3)</f>
        <v>343.04907639192118</v>
      </c>
      <c r="D236" s="54">
        <f t="shared" ref="D236:D244" si="28">VLOOKUP($A236, $A$131:$E$163, 4)</f>
        <v>3253.4284720129599</v>
      </c>
      <c r="F236" s="76" t="s">
        <v>82</v>
      </c>
      <c r="K236" s="5"/>
      <c r="L236" s="9"/>
      <c r="M236" s="10"/>
    </row>
    <row r="237" spans="1:13" ht="13.5" thickBot="1" x14ac:dyDescent="0.25">
      <c r="A237" s="55" t="s">
        <v>16</v>
      </c>
      <c r="B237" s="4">
        <f t="shared" si="26"/>
        <v>249.99945163630457</v>
      </c>
      <c r="C237" s="4">
        <f t="shared" si="27"/>
        <v>-218.26047380989604</v>
      </c>
      <c r="D237" s="56">
        <f t="shared" si="28"/>
        <v>4081.0344101575783</v>
      </c>
      <c r="F237" s="75" t="s">
        <v>81</v>
      </c>
      <c r="K237" s="5" t="s">
        <v>7</v>
      </c>
      <c r="L237" s="9">
        <f t="shared" ref="L237:L245" si="29">VLOOKUP($K237, $A$199:$G$231, 6)</f>
        <v>33.302812815056804</v>
      </c>
      <c r="M237" s="10">
        <f t="shared" ref="M237:M245" si="30">VLOOKUP($K237, $A$199:$G$231, 7)</f>
        <v>45.698096946542357</v>
      </c>
    </row>
    <row r="238" spans="1:13" ht="16.5" thickBot="1" x14ac:dyDescent="0.3">
      <c r="A238" s="55" t="s">
        <v>17</v>
      </c>
      <c r="B238" s="4">
        <f t="shared" si="26"/>
        <v>-249.99945163630457</v>
      </c>
      <c r="C238" s="4">
        <f t="shared" si="27"/>
        <v>-623.70385149283061</v>
      </c>
      <c r="D238" s="56">
        <f t="shared" si="28"/>
        <v>3806.0493847121161</v>
      </c>
      <c r="F238" s="63"/>
      <c r="G238" s="63" t="s">
        <v>26</v>
      </c>
      <c r="H238" s="63" t="s">
        <v>27</v>
      </c>
      <c r="I238" s="63" t="s">
        <v>21</v>
      </c>
      <c r="K238" s="5" t="s">
        <v>16</v>
      </c>
      <c r="L238" s="9">
        <f t="shared" si="29"/>
        <v>27.286353828949416</v>
      </c>
      <c r="M238" s="10">
        <f t="shared" si="30"/>
        <v>-23.822182313883591</v>
      </c>
    </row>
    <row r="239" spans="1:13" ht="13.5" thickBot="1" x14ac:dyDescent="0.25">
      <c r="A239" s="55" t="s">
        <v>14</v>
      </c>
      <c r="B239" s="4">
        <f t="shared" si="26"/>
        <v>-249.99945163630457</v>
      </c>
      <c r="C239" s="4">
        <f t="shared" si="27"/>
        <v>-62.394301291013335</v>
      </c>
      <c r="D239" s="56">
        <f t="shared" si="28"/>
        <v>2978.4434465674981</v>
      </c>
      <c r="F239" s="78" t="s">
        <v>83</v>
      </c>
      <c r="G239" s="53">
        <f t="shared" ref="G239:I240" si="31">B238-B239</f>
        <v>0</v>
      </c>
      <c r="H239" s="53">
        <f t="shared" si="31"/>
        <v>-561.30955020181727</v>
      </c>
      <c r="I239" s="54">
        <f t="shared" si="31"/>
        <v>827.60593814461799</v>
      </c>
      <c r="K239" s="5" t="s">
        <v>17</v>
      </c>
      <c r="L239" s="9">
        <f t="shared" si="29"/>
        <v>-29.028864894569534</v>
      </c>
      <c r="M239" s="10">
        <f t="shared" si="30"/>
        <v>-72.421818210815616</v>
      </c>
    </row>
    <row r="240" spans="1:13" ht="13.5" thickBot="1" x14ac:dyDescent="0.25">
      <c r="A240" s="55" t="s">
        <v>13</v>
      </c>
      <c r="B240" s="4">
        <f t="shared" si="26"/>
        <v>-99.999780654521771</v>
      </c>
      <c r="C240" s="4">
        <f t="shared" si="27"/>
        <v>59.238712013867143</v>
      </c>
      <c r="D240" s="56">
        <f t="shared" si="28"/>
        <v>3060.9389542011368</v>
      </c>
      <c r="F240" s="79" t="s">
        <v>84</v>
      </c>
      <c r="G240" s="4">
        <f t="shared" si="31"/>
        <v>-149.9996709817828</v>
      </c>
      <c r="H240" s="4">
        <f t="shared" si="31"/>
        <v>-121.63301330488048</v>
      </c>
      <c r="I240" s="56">
        <f t="shared" si="31"/>
        <v>-82.495507633638681</v>
      </c>
      <c r="K240" s="5" t="s">
        <v>14</v>
      </c>
      <c r="L240" s="9">
        <f t="shared" si="29"/>
        <v>-35.935534884576342</v>
      </c>
      <c r="M240" s="10">
        <f t="shared" si="30"/>
        <v>-8.9687100350278168</v>
      </c>
    </row>
    <row r="241" spans="1:13" ht="13.5" thickBot="1" x14ac:dyDescent="0.25">
      <c r="A241" s="55" t="s">
        <v>12</v>
      </c>
      <c r="B241" s="4">
        <f t="shared" si="26"/>
        <v>-99.999780654521771</v>
      </c>
      <c r="C241" s="4">
        <f t="shared" si="27"/>
        <v>620.54826221568442</v>
      </c>
      <c r="D241" s="56">
        <f t="shared" si="28"/>
        <v>2233.3330160565183</v>
      </c>
      <c r="F241" s="79" t="s">
        <v>21</v>
      </c>
      <c r="G241" s="4">
        <f>(H239*I240)-(H240*I239)</f>
        <v>146969.72036905072</v>
      </c>
      <c r="H241" s="4">
        <f>(G240*I239)-(G239*I240)</f>
        <v>-124140.61842426239</v>
      </c>
      <c r="I241" s="56">
        <f>G239*H240-G240*H239</f>
        <v>-84196.247849205087</v>
      </c>
      <c r="K241" s="5" t="s">
        <v>13</v>
      </c>
      <c r="L241" s="9">
        <f t="shared" si="29"/>
        <v>-14.041209627666277</v>
      </c>
      <c r="M241" s="10">
        <f t="shared" si="30"/>
        <v>8.3178499794244285</v>
      </c>
    </row>
    <row r="242" spans="1:13" ht="13.5" thickBot="1" x14ac:dyDescent="0.25">
      <c r="A242" s="55" t="s">
        <v>5</v>
      </c>
      <c r="B242" s="4">
        <f t="shared" si="26"/>
        <v>99.999780654521828</v>
      </c>
      <c r="C242" s="4">
        <f t="shared" si="27"/>
        <v>782.72561328885809</v>
      </c>
      <c r="D242" s="56">
        <f t="shared" si="28"/>
        <v>2343.3270262347032</v>
      </c>
      <c r="F242" s="80" t="s">
        <v>85</v>
      </c>
      <c r="G242" s="58">
        <f>B238-A194</f>
        <v>-249.99945163630457</v>
      </c>
      <c r="H242" s="58">
        <f>C238-B194</f>
        <v>-623.70385149283061</v>
      </c>
      <c r="I242" s="59">
        <f>D238-C194</f>
        <v>4306.0493847121161</v>
      </c>
      <c r="K242" s="5" t="s">
        <v>12</v>
      </c>
      <c r="L242" s="9">
        <f t="shared" si="29"/>
        <v>-18.292644926009636</v>
      </c>
      <c r="M242" s="10">
        <f t="shared" si="30"/>
        <v>113.5149391915246</v>
      </c>
    </row>
    <row r="243" spans="1:13" ht="13.5" thickBot="1" x14ac:dyDescent="0.25">
      <c r="A243" s="55" t="s">
        <v>8</v>
      </c>
      <c r="B243" s="4">
        <f t="shared" si="26"/>
        <v>99.999780654521828</v>
      </c>
      <c r="C243" s="4">
        <f t="shared" si="27"/>
        <v>221.41606308704081</v>
      </c>
      <c r="D243" s="56">
        <f t="shared" si="28"/>
        <v>3170.9329643793217</v>
      </c>
      <c r="K243" s="5" t="s">
        <v>5</v>
      </c>
      <c r="L243" s="9">
        <f t="shared" si="29"/>
        <v>17.584994573583622</v>
      </c>
      <c r="M243" s="10">
        <f t="shared" si="30"/>
        <v>137.64255853562301</v>
      </c>
    </row>
    <row r="244" spans="1:13" ht="13.5" thickBot="1" x14ac:dyDescent="0.25">
      <c r="A244" s="57" t="s">
        <v>7</v>
      </c>
      <c r="B244" s="58">
        <f t="shared" si="26"/>
        <v>249.99945163630457</v>
      </c>
      <c r="C244" s="58">
        <f t="shared" si="27"/>
        <v>343.04907639192118</v>
      </c>
      <c r="D244" s="59">
        <f t="shared" si="28"/>
        <v>3253.4284720129599</v>
      </c>
      <c r="F244" s="74" t="s">
        <v>86</v>
      </c>
      <c r="G244">
        <f>SUMPRODUCT(G241:I241,G242:I242)</f>
        <v>-321868568.90762782</v>
      </c>
      <c r="K244" s="5" t="s">
        <v>8</v>
      </c>
      <c r="L244" s="9">
        <f t="shared" si="29"/>
        <v>13.620485803590492</v>
      </c>
      <c r="M244" s="10">
        <f t="shared" si="30"/>
        <v>30.158009589869703</v>
      </c>
    </row>
    <row r="245" spans="1:13" ht="13.5" thickBot="1" x14ac:dyDescent="0.25">
      <c r="A245" s="4"/>
      <c r="B245" s="4"/>
      <c r="C245" s="4"/>
      <c r="K245" s="5" t="s">
        <v>7</v>
      </c>
      <c r="L245" s="9">
        <f t="shared" si="29"/>
        <v>33.302812815056804</v>
      </c>
      <c r="M245" s="10">
        <f t="shared" si="30"/>
        <v>45.698096946542357</v>
      </c>
    </row>
    <row r="246" spans="1:13" ht="13.5" thickBot="1" x14ac:dyDescent="0.25">
      <c r="K246" s="5"/>
      <c r="L246" s="9"/>
      <c r="M246" s="10"/>
    </row>
    <row r="247" spans="1:13" ht="13.5" thickBot="1" x14ac:dyDescent="0.25">
      <c r="K247" s="5" t="s">
        <v>28</v>
      </c>
      <c r="L247" s="9">
        <f>VLOOKUP($K247, $A$199:$G$231, 6)</f>
        <v>-2.2151516070553803</v>
      </c>
      <c r="M247" s="10">
        <f>VLOOKUP($K247, $A$199:$G$231, 7)</f>
        <v>-35.614465816156958</v>
      </c>
    </row>
    <row r="248" spans="1:13" ht="13.5" thickBot="1" x14ac:dyDescent="0.25">
      <c r="K248" s="5" t="s">
        <v>0</v>
      </c>
      <c r="L248" s="9">
        <f>VLOOKUP($K248, $A$199:$G$231, 6)</f>
        <v>-2.0290301713150556</v>
      </c>
      <c r="M248" s="10">
        <f>VLOOKUP($K248, $A$199:$G$231, 7)</f>
        <v>-61.115303782924641</v>
      </c>
    </row>
    <row r="249" spans="1:13" ht="13.5" thickBot="1" x14ac:dyDescent="0.25">
      <c r="K249" s="5" t="s">
        <v>22</v>
      </c>
      <c r="L249" s="9">
        <f>VLOOKUP($K249, $A$199:$G$231, 6)</f>
        <v>-33.612255881023898</v>
      </c>
      <c r="M249" s="10">
        <f>VLOOKUP($K249, $A$199:$G$231, 7)</f>
        <v>-88.787150210698456</v>
      </c>
    </row>
    <row r="250" spans="1:13" ht="13.5" thickBot="1" x14ac:dyDescent="0.25">
      <c r="K250" s="5" t="s">
        <v>23</v>
      </c>
      <c r="L250" s="9">
        <f>VLOOKUP($K250, $A$199:$G$231, 6)</f>
        <v>-36.812530654635928</v>
      </c>
      <c r="M250" s="10">
        <f>VLOOKUP($K250, $A$199:$G$231, 7)</f>
        <v>-64.952912569421713</v>
      </c>
    </row>
    <row r="251" spans="1:13" ht="13.5" thickBot="1" x14ac:dyDescent="0.25">
      <c r="K251" s="5" t="s">
        <v>28</v>
      </c>
      <c r="L251" s="9">
        <f>VLOOKUP($K251, $A$199:$G$231, 6)</f>
        <v>-2.2151516070553803</v>
      </c>
      <c r="M251" s="10">
        <f>VLOOKUP($K251, $A$199:$G$231, 7)</f>
        <v>-35.614465816156958</v>
      </c>
    </row>
    <row r="252" spans="1:13" ht="13.5" thickBot="1" x14ac:dyDescent="0.25">
      <c r="K252" s="5"/>
      <c r="L252" s="9"/>
      <c r="M252" s="10"/>
    </row>
    <row r="253" spans="1:13" ht="13.5" thickBot="1" x14ac:dyDescent="0.25">
      <c r="K253" s="5" t="s">
        <v>24</v>
      </c>
      <c r="L253" s="9">
        <f>VLOOKUP($K253, $A$199:$G$231, 6)</f>
        <v>14.856518476129505</v>
      </c>
      <c r="M253" s="10">
        <f>VLOOKUP($K253, $A$199:$G$231, 7)</f>
        <v>-13.312405632198002</v>
      </c>
    </row>
    <row r="254" spans="1:13" ht="13.5" thickBot="1" x14ac:dyDescent="0.25">
      <c r="K254" s="5" t="s">
        <v>25</v>
      </c>
      <c r="L254" s="9">
        <f>VLOOKUP($K254, $A$199:$G$231, 6)</f>
        <v>13.641320339562307</v>
      </c>
      <c r="M254" s="10">
        <f>VLOOKUP($K254, $A$199:$G$231, 7)</f>
        <v>-39.961748119530363</v>
      </c>
    </row>
    <row r="255" spans="1:13" ht="13.5" thickBot="1" x14ac:dyDescent="0.25">
      <c r="K255" s="5" t="s">
        <v>26</v>
      </c>
      <c r="L255" s="9">
        <f>VLOOKUP($K255, $A$199:$G$231, 6)</f>
        <v>-6.2615809761670684</v>
      </c>
      <c r="M255" s="10">
        <f>VLOOKUP($K255, $A$199:$G$231, 7)</f>
        <v>-57.234803536037099</v>
      </c>
    </row>
    <row r="256" spans="1:13" ht="13.5" thickBot="1" x14ac:dyDescent="0.25">
      <c r="K256" s="5" t="s">
        <v>27</v>
      </c>
      <c r="L256" s="9">
        <f>VLOOKUP($K256, $A$199:$G$231, 6)</f>
        <v>-6.8329045245745297</v>
      </c>
      <c r="M256" s="10">
        <f>VLOOKUP($K256, $A$199:$G$231, 7)</f>
        <v>-31.515162701752246</v>
      </c>
    </row>
    <row r="257" spans="11:13" ht="13.5" thickBot="1" x14ac:dyDescent="0.25">
      <c r="K257" s="5" t="s">
        <v>24</v>
      </c>
      <c r="L257" s="9">
        <f>VLOOKUP($K257, $A$199:$G$231, 6)</f>
        <v>14.856518476129505</v>
      </c>
      <c r="M257" s="10">
        <f>VLOOKUP($K257, $A$199:$G$231, 7)</f>
        <v>-13.312405632198002</v>
      </c>
    </row>
    <row r="258" spans="11:13" ht="13.5" thickBot="1" x14ac:dyDescent="0.25">
      <c r="K258" s="5"/>
      <c r="L258" s="9"/>
      <c r="M258" s="10"/>
    </row>
    <row r="259" spans="11:13" ht="13.5" thickBot="1" x14ac:dyDescent="0.25">
      <c r="K259" s="5" t="s">
        <v>1</v>
      </c>
      <c r="L259" s="9">
        <f>VLOOKUP($K259, $A$199:$G$231, 6)</f>
        <v>18.486861863738152</v>
      </c>
      <c r="M259" s="10">
        <f>VLOOKUP($K259, $A$199:$G$231, 7)</f>
        <v>-30.059175450809448</v>
      </c>
    </row>
    <row r="260" spans="11:13" ht="13.5" thickBot="1" x14ac:dyDescent="0.25">
      <c r="K260" s="5" t="s">
        <v>2</v>
      </c>
      <c r="L260" s="9">
        <f>VLOOKUP($K260, $A$199:$G$231, 6)</f>
        <v>13.015612283138456</v>
      </c>
      <c r="M260" s="10">
        <f>VLOOKUP($K260, $A$199:$G$231, 7)</f>
        <v>-25.34911878750702</v>
      </c>
    </row>
    <row r="261" spans="11:13" ht="13.5" thickBot="1" x14ac:dyDescent="0.25">
      <c r="K261" s="5" t="s">
        <v>32</v>
      </c>
      <c r="L261" s="9">
        <f>VLOOKUP($K261, $A$199:$G$231, 6)</f>
        <v>-6.2548324816771217</v>
      </c>
      <c r="M261" s="10">
        <f>VLOOKUP($K261, $A$199:$G$231, 7)</f>
        <v>-41.747375501691224</v>
      </c>
    </row>
    <row r="262" spans="11:13" ht="13.5" thickBot="1" x14ac:dyDescent="0.25">
      <c r="K262" s="5"/>
      <c r="L262" s="9"/>
      <c r="M262" s="10"/>
    </row>
    <row r="263" spans="11:13" ht="13.5" thickBot="1" x14ac:dyDescent="0.25">
      <c r="K263" s="5" t="s">
        <v>30</v>
      </c>
      <c r="L263" s="9">
        <f>VLOOKUP($K263, $A$199:$G$231, 6)</f>
        <v>8.7576692024800984</v>
      </c>
      <c r="M263" s="10">
        <f>VLOOKUP($K263, $A$199:$G$231, 7)</f>
        <v>-35.711598728866697</v>
      </c>
    </row>
    <row r="264" spans="11:13" ht="13.5" thickBot="1" x14ac:dyDescent="0.25">
      <c r="K264" s="5" t="s">
        <v>31</v>
      </c>
      <c r="L264" s="9">
        <f>VLOOKUP($K264, $A$199:$G$231, 6)</f>
        <v>-0.5460563192505703</v>
      </c>
      <c r="M264" s="10">
        <f>VLOOKUP($K264, $A$199:$G$231, 7)</f>
        <v>-27.55421169458916</v>
      </c>
    </row>
    <row r="265" spans="11:13" ht="13.5" thickBot="1" x14ac:dyDescent="0.25">
      <c r="K265" s="5"/>
      <c r="L265" s="9"/>
      <c r="M265" s="10"/>
    </row>
    <row r="266" spans="11:13" ht="13.5" thickBot="1" x14ac:dyDescent="0.25">
      <c r="K266" s="5" t="s">
        <v>34</v>
      </c>
      <c r="L266" s="9">
        <f>VLOOKUP($K266, $A$199:$G$231, 6)</f>
        <v>12.349802037389209</v>
      </c>
      <c r="M266" s="10">
        <f>VLOOKUP($K266, $A$199:$G$231, 7)</f>
        <v>102.44200662793087</v>
      </c>
    </row>
    <row r="267" spans="11:13" ht="13.5" thickBot="1" x14ac:dyDescent="0.25">
      <c r="K267" s="5" t="s">
        <v>37</v>
      </c>
      <c r="L267" s="9">
        <f>VLOOKUP($K267, $A$199:$G$231, 6)</f>
        <v>0</v>
      </c>
      <c r="M267" s="10">
        <f>VLOOKUP($K267, $A$199:$G$231, 7)</f>
        <v>-4.4608293993200924E-14</v>
      </c>
    </row>
    <row r="268" spans="11:13" ht="13.5" thickBot="1" x14ac:dyDescent="0.25">
      <c r="K268" s="26" t="s">
        <v>38</v>
      </c>
      <c r="L268" s="9">
        <f>VLOOKUP($K268, $A$199:$G$231, 6)</f>
        <v>-10.49040240433485</v>
      </c>
      <c r="M268" s="10">
        <f>VLOOKUP($K268, $A$199:$G$231, 7)</f>
        <v>11.121372876139249</v>
      </c>
    </row>
  </sheetData>
  <phoneticPr fontId="0" type="noConversion"/>
  <conditionalFormatting sqref="F30">
    <cfRule type="containsText" dxfId="2" priority="1" operator="containsText" text="NOT">
      <formula>NOT(ISERROR(SEARCH("NOT",F30)))</formula>
    </cfRule>
    <cfRule type="containsText" dxfId="1" priority="2" operator="containsText" text="VISIBLE">
      <formula>NOT(ISERROR(SEARCH("VISIBLE",F30)))</formula>
    </cfRule>
    <cfRule type="cellIs" dxfId="0" priority="3" operator="equal">
      <formula>"""VISIBLE"""</formula>
    </cfRule>
  </conditionalFormatting>
  <pageMargins left="0.75" right="0.75" top="1" bottom="1" header="0.5" footer="0.5"/>
  <pageSetup scale="54" fitToHeight="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9" r:id="rId4" name="cmdRezero">
          <controlPr defaultSize="0" autoLine="0" r:id="rId5">
            <anchor moveWithCells="1">
              <from>
                <xdr:col>0</xdr:col>
                <xdr:colOff>342900</xdr:colOff>
                <xdr:row>3</xdr:row>
                <xdr:rowOff>95250</xdr:rowOff>
              </from>
              <to>
                <xdr:col>1</xdr:col>
                <xdr:colOff>9525</xdr:colOff>
                <xdr:row>5</xdr:row>
                <xdr:rowOff>57150</xdr:rowOff>
              </to>
            </anchor>
          </controlPr>
        </control>
      </mc:Choice>
      <mc:Fallback>
        <control shapeId="1049" r:id="rId4" name="cmdRezero"/>
      </mc:Fallback>
    </mc:AlternateContent>
    <mc:AlternateContent xmlns:mc="http://schemas.openxmlformats.org/markup-compatibility/2006">
      <mc:Choice Requires="x14">
        <control shapeId="1050" r:id="rId6" name="cmdIncrement">
          <controlPr defaultSize="0" autoLine="0" r:id="rId7">
            <anchor moveWithCells="1">
              <from>
                <xdr:col>0</xdr:col>
                <xdr:colOff>342900</xdr:colOff>
                <xdr:row>6</xdr:row>
                <xdr:rowOff>57150</xdr:rowOff>
              </from>
              <to>
                <xdr:col>1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050" r:id="rId6" name="cmdIncrement"/>
      </mc:Fallback>
    </mc:AlternateContent>
    <mc:AlternateContent xmlns:mc="http://schemas.openxmlformats.org/markup-compatibility/2006">
      <mc:Choice Requires="x14">
        <control shapeId="1056" r:id="rId8" name="cmdDecrement">
          <controlPr defaultSize="0" autoLine="0" r:id="rId9">
            <anchor moveWithCells="1">
              <from>
                <xdr:col>0</xdr:col>
                <xdr:colOff>352425</xdr:colOff>
                <xdr:row>9</xdr:row>
                <xdr:rowOff>19050</xdr:rowOff>
              </from>
              <to>
                <xdr:col>1</xdr:col>
                <xdr:colOff>28575</xdr:colOff>
                <xdr:row>11</xdr:row>
                <xdr:rowOff>19050</xdr:rowOff>
              </to>
            </anchor>
          </controlPr>
        </control>
      </mc:Choice>
      <mc:Fallback>
        <control shapeId="1056" r:id="rId8" name="cmdDecreme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200810BFG</vt:lpstr>
      <vt:lpstr>Main</vt:lpstr>
    </vt:vector>
  </TitlesOfParts>
  <Company>BCIT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Wndows 2K Pro</dc:creator>
  <cp:lastModifiedBy>DJ</cp:lastModifiedBy>
  <cp:lastPrinted>2013-11-26T17:57:29Z</cp:lastPrinted>
  <dcterms:created xsi:type="dcterms:W3CDTF">2001-04-27T20:25:39Z</dcterms:created>
  <dcterms:modified xsi:type="dcterms:W3CDTF">2015-05-24T22:05:31Z</dcterms:modified>
</cp:coreProperties>
</file>