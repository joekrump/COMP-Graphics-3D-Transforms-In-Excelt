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H:\MyCourses\COMP4560\Assignment 6\"/>
    </mc:Choice>
  </mc:AlternateContent>
  <bookViews>
    <workbookView xWindow="0" yWindow="0" windowWidth="25200" windowHeight="11985" firstSheet="1" activeTab="1"/>
  </bookViews>
  <sheets>
    <sheet name="200810BFG" sheetId="2" state="hidden" r:id="rId1"/>
    <sheet name="Main" sheetId="1" r:id="rId2"/>
  </sheets>
  <calcPr calcId="152511"/>
</workbook>
</file>

<file path=xl/calcChain.xml><?xml version="1.0" encoding="utf-8"?>
<calcChain xmlns="http://schemas.openxmlformats.org/spreadsheetml/2006/main">
  <c r="B26" i="1" l="1"/>
  <c r="T66" i="1" l="1"/>
  <c r="B51" i="1"/>
  <c r="U66" i="1" s="1"/>
  <c r="C52" i="1"/>
  <c r="T67" i="1"/>
  <c r="B52" i="1"/>
  <c r="U67" i="1" s="1"/>
  <c r="C53" i="1"/>
  <c r="T15" i="1" s="1"/>
  <c r="B53" i="1"/>
  <c r="U68" i="1" s="1"/>
  <c r="T69" i="1"/>
  <c r="B50" i="1"/>
  <c r="U69" i="1" s="1"/>
  <c r="C56" i="1"/>
  <c r="T71" i="1" s="1"/>
  <c r="B56" i="1"/>
  <c r="U71" i="1" s="1"/>
  <c r="C57" i="1"/>
  <c r="T72" i="1" s="1"/>
  <c r="B57" i="1"/>
  <c r="U72" i="1" s="1"/>
  <c r="C28" i="1"/>
  <c r="T73" i="1" s="1"/>
  <c r="B28" i="1"/>
  <c r="U73" i="1" s="1"/>
  <c r="C26" i="1"/>
  <c r="T75" i="1"/>
  <c r="U75" i="1"/>
  <c r="C27" i="1"/>
  <c r="T76" i="1" s="1"/>
  <c r="B27" i="1"/>
  <c r="U76" i="1" s="1"/>
  <c r="C29" i="1"/>
  <c r="T78" i="1"/>
  <c r="B29" i="1"/>
  <c r="U78" i="1" s="1"/>
  <c r="C30" i="1"/>
  <c r="T79" i="1" s="1"/>
  <c r="C31" i="1"/>
  <c r="T80" i="1"/>
  <c r="F8" i="1"/>
  <c r="F12" i="1" s="1"/>
  <c r="D8" i="1"/>
  <c r="D12" i="1" s="1"/>
  <c r="D53" i="1"/>
  <c r="T6" i="1"/>
  <c r="T7" i="1"/>
  <c r="C55" i="1"/>
  <c r="T8" i="1"/>
  <c r="B55" i="1"/>
  <c r="U8" i="1" s="1"/>
  <c r="C46" i="1"/>
  <c r="T9" i="1" s="1"/>
  <c r="B46" i="1"/>
  <c r="U9" i="1" s="1"/>
  <c r="C45" i="1"/>
  <c r="T10" i="1" s="1"/>
  <c r="U10" i="1"/>
  <c r="T11" i="1"/>
  <c r="U11" i="1"/>
  <c r="T13" i="1"/>
  <c r="B49" i="1"/>
  <c r="U13" i="1" s="1"/>
  <c r="T14" i="1"/>
  <c r="U14" i="1"/>
  <c r="C54" i="1"/>
  <c r="T16" i="1" s="1"/>
  <c r="B54" i="1"/>
  <c r="U16" i="1" s="1"/>
  <c r="C47" i="1"/>
  <c r="T17" i="1"/>
  <c r="B47" i="1"/>
  <c r="U17" i="1" s="1"/>
  <c r="C48" i="1"/>
  <c r="T18" i="1" s="1"/>
  <c r="B48" i="1"/>
  <c r="U18" i="1" s="1"/>
  <c r="T19" i="1"/>
  <c r="T21" i="1"/>
  <c r="U21" i="1"/>
  <c r="T22" i="1"/>
  <c r="B34" i="1"/>
  <c r="U49" i="1" s="1"/>
  <c r="C35" i="1"/>
  <c r="T23" i="1" s="1"/>
  <c r="B35" i="1"/>
  <c r="U23" i="1" s="1"/>
  <c r="C38" i="1"/>
  <c r="T24" i="1" s="1"/>
  <c r="U24" i="1"/>
  <c r="T25" i="1"/>
  <c r="U25" i="1"/>
  <c r="C42" i="1"/>
  <c r="T27" i="1"/>
  <c r="B42" i="1"/>
  <c r="U27" i="1" s="1"/>
  <c r="C43" i="1"/>
  <c r="T28" i="1" s="1"/>
  <c r="B43" i="1"/>
  <c r="U28" i="1" s="1"/>
  <c r="C44" i="1"/>
  <c r="T29" i="1" s="1"/>
  <c r="U29" i="1"/>
  <c r="C39" i="1"/>
  <c r="T30" i="1" s="1"/>
  <c r="U30" i="1"/>
  <c r="T31" i="1"/>
  <c r="C41" i="1"/>
  <c r="T33" i="1" s="1"/>
  <c r="B41" i="1"/>
  <c r="U33" i="1" s="1"/>
  <c r="C40" i="1"/>
  <c r="T34" i="1" s="1"/>
  <c r="U34" i="1"/>
  <c r="C37" i="1"/>
  <c r="T35" i="1" s="1"/>
  <c r="U35" i="1"/>
  <c r="C36" i="1"/>
  <c r="T36" i="1" s="1"/>
  <c r="B36" i="1"/>
  <c r="U36" i="1" s="1"/>
  <c r="T39" i="1"/>
  <c r="U39" i="1"/>
  <c r="T40" i="1"/>
  <c r="U40" i="1"/>
  <c r="T41" i="1"/>
  <c r="U41" i="1"/>
  <c r="U42" i="1"/>
  <c r="U43" i="1"/>
  <c r="T44" i="1"/>
  <c r="U44" i="1"/>
  <c r="U45" i="1"/>
  <c r="U46" i="1"/>
  <c r="T47" i="1"/>
  <c r="U47" i="1"/>
  <c r="T49" i="1"/>
  <c r="T50" i="1"/>
  <c r="T51" i="1"/>
  <c r="U51" i="1"/>
  <c r="T52" i="1"/>
  <c r="T53" i="1"/>
  <c r="U53" i="1"/>
  <c r="T54" i="1"/>
  <c r="T56" i="1"/>
  <c r="T57" i="1"/>
  <c r="T59" i="1"/>
  <c r="T60" i="1"/>
  <c r="T61" i="1"/>
  <c r="U61" i="1"/>
  <c r="T62" i="1"/>
  <c r="U62" i="1"/>
  <c r="T63" i="1"/>
  <c r="T65" i="1"/>
  <c r="U65" i="1"/>
  <c r="U5" i="1"/>
  <c r="T5" i="1"/>
  <c r="D57" i="1"/>
  <c r="D56" i="1"/>
  <c r="D54" i="1"/>
  <c r="D50" i="1"/>
  <c r="D49" i="1"/>
  <c r="D48" i="1"/>
  <c r="D47" i="1"/>
  <c r="D44" i="1"/>
  <c r="D43" i="1"/>
  <c r="D40" i="1"/>
  <c r="D42" i="1"/>
  <c r="D41" i="1"/>
  <c r="D39" i="1"/>
  <c r="D38" i="1"/>
  <c r="D37" i="1"/>
  <c r="D36" i="1"/>
  <c r="D35" i="1"/>
  <c r="D34" i="1"/>
  <c r="D33" i="1"/>
  <c r="D31" i="1"/>
  <c r="D30" i="1"/>
  <c r="D29" i="1"/>
  <c r="D28" i="1"/>
  <c r="D26" i="1"/>
  <c r="D27" i="1" s="1"/>
  <c r="T46" i="1"/>
  <c r="T43" i="1"/>
  <c r="T42" i="1" l="1"/>
  <c r="B30" i="1"/>
  <c r="U79" i="1" s="1"/>
  <c r="U60" i="1"/>
  <c r="U52" i="1"/>
  <c r="U50" i="1"/>
  <c r="U19" i="1"/>
  <c r="U31" i="1"/>
  <c r="U63" i="1"/>
  <c r="U59" i="1"/>
  <c r="B31" i="1"/>
  <c r="U80" i="1" s="1"/>
  <c r="T45" i="1"/>
  <c r="T37" i="1"/>
  <c r="T68" i="1"/>
  <c r="T55" i="1"/>
  <c r="U6" i="1"/>
  <c r="U55" i="1"/>
  <c r="U15" i="1"/>
  <c r="U7" i="1"/>
  <c r="U37" i="1"/>
  <c r="U54" i="1"/>
  <c r="U56" i="1"/>
  <c r="U22" i="1"/>
  <c r="E12" i="1"/>
  <c r="U57" i="1"/>
</calcChain>
</file>

<file path=xl/sharedStrings.xml><?xml version="1.0" encoding="utf-8"?>
<sst xmlns="http://schemas.openxmlformats.org/spreadsheetml/2006/main" count="133" uniqueCount="47">
  <si>
    <t>x</t>
  </si>
  <si>
    <t>y</t>
  </si>
  <si>
    <t>z</t>
  </si>
  <si>
    <t>a</t>
  </si>
  <si>
    <t>h</t>
  </si>
  <si>
    <t>e</t>
  </si>
  <si>
    <t>b</t>
  </si>
  <si>
    <t>c</t>
  </si>
  <si>
    <t>d</t>
  </si>
  <si>
    <t>f</t>
  </si>
  <si>
    <t>g</t>
  </si>
  <si>
    <t>I</t>
  </si>
  <si>
    <t>j</t>
  </si>
  <si>
    <t>k</t>
  </si>
  <si>
    <t>l</t>
  </si>
  <si>
    <t>m</t>
  </si>
  <si>
    <t>r</t>
  </si>
  <si>
    <t>q</t>
  </si>
  <si>
    <r>
      <t>VRP in cylindrical (r,</t>
    </r>
    <r>
      <rPr>
        <sz val="10"/>
        <rFont val="Symbol"/>
        <family val="1"/>
        <charset val="2"/>
      </rPr>
      <t>q,</t>
    </r>
    <r>
      <rPr>
        <sz val="10"/>
        <rFont val="Arial"/>
        <family val="2"/>
      </rPr>
      <t>z) coordinates:</t>
    </r>
  </si>
  <si>
    <t>VRP in rectangular (x,y,z) coordinates</t>
  </si>
  <si>
    <t>Location of the VRP</t>
  </si>
  <si>
    <t>n</t>
  </si>
  <si>
    <t>o</t>
  </si>
  <si>
    <t>p</t>
  </si>
  <si>
    <t>s</t>
  </si>
  <si>
    <t>t</t>
  </si>
  <si>
    <t>u</t>
  </si>
  <si>
    <t>v</t>
  </si>
  <si>
    <t>w</t>
  </si>
  <si>
    <t>i</t>
  </si>
  <si>
    <t>aa</t>
  </si>
  <si>
    <t>ab</t>
  </si>
  <si>
    <t>ac</t>
  </si>
  <si>
    <t>Coordinates to Generate Aerial View</t>
  </si>
  <si>
    <t>ad</t>
  </si>
  <si>
    <t>Test Shape specified in (x, y, z) coordinates</t>
  </si>
  <si>
    <t>Fill Your Name In Here (Cell A1)!</t>
  </si>
  <si>
    <t>ae</t>
  </si>
  <si>
    <t>af</t>
  </si>
  <si>
    <t>ag</t>
  </si>
  <si>
    <t>Asgn52005BStudenttemplate.xls</t>
  </si>
  <si>
    <t>Asgn6200810Studenttemplate.xlsm</t>
  </si>
  <si>
    <t>Asgn6200810Studenttemplate03.xls</t>
  </si>
  <si>
    <t>Asgn6200810Studenttemplate08.xlsm</t>
  </si>
  <si>
    <t>Template for Comp 4560 Laboratory Assignment 6 (201330)</t>
  </si>
  <si>
    <t>Joseph Krump (A00750171)</t>
  </si>
  <si>
    <t>Asgn6201330Studenttemplate.xlsm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</si>
</sst>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0"/>
      <name val="Arial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6"/>
      <name val="Arial"/>
      <family val="2"/>
    </font>
    <font>
      <b/>
      <sz val="10"/>
      <name val="Arial"/>
      <family val="2"/>
    </font>
    <font>
      <sz val="10"/>
      <name val="Symbol"/>
      <family val="1"/>
      <charset val="2"/>
    </font>
    <font>
      <b/>
      <sz val="12"/>
      <color indexed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color indexed="9"/>
      <name val="Arial"/>
      <family val="2"/>
    </font>
    <font>
      <sz val="14"/>
      <color indexed="10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3" fillId="0" borderId="0" xfId="0" applyFont="1"/>
    <xf numFmtId="0" fontId="2" fillId="0" borderId="0" xfId="0" applyFont="1"/>
    <xf numFmtId="0" fontId="0" fillId="0" borderId="0" xfId="0" applyAlignment="1">
      <alignment horizontal="right"/>
    </xf>
    <xf numFmtId="0" fontId="0" fillId="0" borderId="0" xfId="0" applyBorder="1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4" fillId="0" borderId="1" xfId="0" applyFont="1" applyBorder="1" applyAlignment="1">
      <alignment horizontal="right"/>
    </xf>
    <xf numFmtId="0" fontId="5" fillId="0" borderId="0" xfId="0" applyFont="1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0" fontId="0" fillId="2" borderId="0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/>
    <xf numFmtId="0" fontId="4" fillId="0" borderId="1" xfId="0" applyFont="1" applyBorder="1"/>
    <xf numFmtId="0" fontId="4" fillId="0" borderId="10" xfId="0" applyFont="1" applyBorder="1" applyAlignment="1">
      <alignment horizontal="right"/>
    </xf>
    <xf numFmtId="0" fontId="6" fillId="0" borderId="5" xfId="0" applyFont="1" applyBorder="1"/>
    <xf numFmtId="0" fontId="0" fillId="0" borderId="10" xfId="0" applyBorder="1"/>
    <xf numFmtId="0" fontId="0" fillId="0" borderId="2" xfId="0" applyFill="1" applyBorder="1" applyAlignment="1">
      <alignment horizontal="center"/>
    </xf>
    <xf numFmtId="0" fontId="7" fillId="0" borderId="9" xfId="0" applyFont="1" applyFill="1" applyBorder="1" applyAlignment="1">
      <alignment horizontal="right"/>
    </xf>
    <xf numFmtId="0" fontId="7" fillId="0" borderId="5" xfId="0" applyFont="1" applyFill="1" applyBorder="1" applyAlignment="1">
      <alignment horizontal="right"/>
    </xf>
    <xf numFmtId="0" fontId="7" fillId="0" borderId="6" xfId="0" applyFont="1" applyFill="1" applyBorder="1" applyAlignment="1">
      <alignment horizontal="center"/>
    </xf>
    <xf numFmtId="0" fontId="1" fillId="2" borderId="0" xfId="0" applyFont="1" applyFill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22" fontId="9" fillId="0" borderId="0" xfId="0" applyNumberFormat="1" applyFont="1"/>
    <xf numFmtId="0" fontId="9" fillId="0" borderId="0" xfId="0" applyFont="1"/>
    <xf numFmtId="0" fontId="10" fillId="0" borderId="0" xfId="0" applyFont="1"/>
    <xf numFmtId="0" fontId="11" fillId="0" borderId="2" xfId="0" applyFont="1" applyFill="1" applyBorder="1" applyAlignment="1">
      <alignment horizontal="center"/>
    </xf>
    <xf numFmtId="0" fontId="4" fillId="0" borderId="0" xfId="0" applyFont="1"/>
    <xf numFmtId="0" fontId="0" fillId="0" borderId="0" xfId="0" applyFill="1" applyBorder="1" applyAlignment="1">
      <alignment horizontal="center"/>
    </xf>
    <xf numFmtId="0" fontId="0" fillId="0" borderId="14" xfId="0" applyFill="1" applyBorder="1"/>
    <xf numFmtId="0" fontId="0" fillId="0" borderId="16" xfId="0" applyFill="1" applyBorder="1"/>
    <xf numFmtId="0" fontId="0" fillId="0" borderId="17" xfId="0" applyBorder="1"/>
    <xf numFmtId="0" fontId="0" fillId="0" borderId="18" xfId="0" applyBorder="1"/>
    <xf numFmtId="22" fontId="12" fillId="0" borderId="0" xfId="0" applyNumberFormat="1" applyFont="1"/>
    <xf numFmtId="0" fontId="12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549304"/>
        <c:axId val="333549696"/>
      </c:scatterChart>
      <c:valAx>
        <c:axId val="333549304"/>
        <c:scaling>
          <c:orientation val="minMax"/>
          <c:max val="5"/>
          <c:min val="-5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549696"/>
        <c:crosses val="autoZero"/>
        <c:crossBetween val="midCat"/>
      </c:valAx>
      <c:valAx>
        <c:axId val="333549696"/>
        <c:scaling>
          <c:orientation val="minMax"/>
          <c:max val="2"/>
          <c:min val="-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5493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550480"/>
        <c:axId val="333550872"/>
      </c:scatterChart>
      <c:valAx>
        <c:axId val="333550480"/>
        <c:scaling>
          <c:orientation val="minMax"/>
          <c:max val="80"/>
          <c:min val="-8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550872"/>
        <c:crosses val="autoZero"/>
        <c:crossBetween val="midCat"/>
        <c:majorUnit val="40"/>
      </c:valAx>
      <c:valAx>
        <c:axId val="333550872"/>
        <c:scaling>
          <c:orientation val="minMax"/>
          <c:max val="40"/>
          <c:min val="-2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550480"/>
        <c:crosses val="autoZero"/>
        <c:crossBetween val="midCat"/>
        <c:majorUnit val="20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CA"/>
              <a:t>Aerial View of the Scene</a:t>
            </a:r>
          </a:p>
        </c:rich>
      </c:tx>
      <c:layout>
        <c:manualLayout>
          <c:xMode val="edge"/>
          <c:yMode val="edge"/>
          <c:x val="0.25454609082955537"/>
          <c:y val="3.61842105263157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909152785134899"/>
          <c:y val="0.30263206503145734"/>
          <c:w val="0.71818394348941605"/>
          <c:h val="0.63157996180478049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Main!$T$5:$T$80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120</c:v>
                </c:pt>
                <c:pt idx="3">
                  <c:v>120</c:v>
                </c:pt>
                <c:pt idx="4">
                  <c:v>300</c:v>
                </c:pt>
                <c:pt idx="5">
                  <c:v>300</c:v>
                </c:pt>
                <c:pt idx="6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120</c:v>
                </c:pt>
                <c:pt idx="11">
                  <c:v>120</c:v>
                </c:pt>
                <c:pt idx="12">
                  <c:v>300</c:v>
                </c:pt>
                <c:pt idx="13">
                  <c:v>300</c:v>
                </c:pt>
                <c:pt idx="14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90</c:v>
                </c:pt>
                <c:pt idx="19">
                  <c:v>90</c:v>
                </c:pt>
                <c:pt idx="20">
                  <c:v>0</c:v>
                </c:pt>
                <c:pt idx="22">
                  <c:v>210</c:v>
                </c:pt>
                <c:pt idx="23">
                  <c:v>300</c:v>
                </c:pt>
                <c:pt idx="24">
                  <c:v>300</c:v>
                </c:pt>
                <c:pt idx="25">
                  <c:v>210</c:v>
                </c:pt>
                <c:pt idx="26">
                  <c:v>210</c:v>
                </c:pt>
                <c:pt idx="28">
                  <c:v>210</c:v>
                </c:pt>
                <c:pt idx="29">
                  <c:v>210</c:v>
                </c:pt>
                <c:pt idx="30">
                  <c:v>90</c:v>
                </c:pt>
                <c:pt idx="31">
                  <c:v>90</c:v>
                </c:pt>
                <c:pt idx="32">
                  <c:v>210</c:v>
                </c:pt>
                <c:pt idx="34">
                  <c:v>0</c:v>
                </c:pt>
                <c:pt idx="35">
                  <c:v>0</c:v>
                </c:pt>
                <c:pt idx="36">
                  <c:v>300</c:v>
                </c:pt>
                <c:pt idx="37">
                  <c:v>300</c:v>
                </c:pt>
                <c:pt idx="38">
                  <c:v>210</c:v>
                </c:pt>
                <c:pt idx="39">
                  <c:v>210</c:v>
                </c:pt>
                <c:pt idx="40">
                  <c:v>90</c:v>
                </c:pt>
                <c:pt idx="41">
                  <c:v>90</c:v>
                </c:pt>
                <c:pt idx="42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300</c:v>
                </c:pt>
                <c:pt idx="47">
                  <c:v>300</c:v>
                </c:pt>
                <c:pt idx="48">
                  <c:v>210</c:v>
                </c:pt>
                <c:pt idx="49">
                  <c:v>210</c:v>
                </c:pt>
                <c:pt idx="50">
                  <c:v>90</c:v>
                </c:pt>
                <c:pt idx="51">
                  <c:v>90</c:v>
                </c:pt>
                <c:pt idx="52">
                  <c:v>0</c:v>
                </c:pt>
                <c:pt idx="54">
                  <c:v>120</c:v>
                </c:pt>
                <c:pt idx="55">
                  <c:v>120</c:v>
                </c:pt>
                <c:pt idx="56">
                  <c:v>300</c:v>
                </c:pt>
                <c:pt idx="57">
                  <c:v>300</c:v>
                </c:pt>
                <c:pt idx="58">
                  <c:v>120</c:v>
                </c:pt>
                <c:pt idx="60">
                  <c:v>0</c:v>
                </c:pt>
                <c:pt idx="61">
                  <c:v>0</c:v>
                </c:pt>
                <c:pt idx="62">
                  <c:v>120</c:v>
                </c:pt>
                <c:pt idx="63">
                  <c:v>120</c:v>
                </c:pt>
                <c:pt idx="64">
                  <c:v>0</c:v>
                </c:pt>
                <c:pt idx="66">
                  <c:v>45</c:v>
                </c:pt>
                <c:pt idx="67">
                  <c:v>45</c:v>
                </c:pt>
                <c:pt idx="68">
                  <c:v>150</c:v>
                </c:pt>
                <c:pt idx="70">
                  <c:v>90</c:v>
                </c:pt>
                <c:pt idx="71">
                  <c:v>90</c:v>
                </c:pt>
                <c:pt idx="73">
                  <c:v>105</c:v>
                </c:pt>
                <c:pt idx="74">
                  <c:v>150</c:v>
                </c:pt>
                <c:pt idx="75">
                  <c:v>195</c:v>
                </c:pt>
              </c:numCache>
            </c:numRef>
          </c:xVal>
          <c:yVal>
            <c:numRef>
              <c:f>Main!$U$5:$U$80</c:f>
              <c:numCache>
                <c:formatCode>General</c:formatCode>
                <c:ptCount val="76"/>
                <c:pt idx="0">
                  <c:v>0</c:v>
                </c:pt>
                <c:pt idx="1">
                  <c:v>200</c:v>
                </c:pt>
                <c:pt idx="2">
                  <c:v>200</c:v>
                </c:pt>
                <c:pt idx="3">
                  <c:v>140</c:v>
                </c:pt>
                <c:pt idx="4">
                  <c:v>140</c:v>
                </c:pt>
                <c:pt idx="5">
                  <c:v>0</c:v>
                </c:pt>
                <c:pt idx="6">
                  <c:v>0</c:v>
                </c:pt>
                <c:pt idx="8">
                  <c:v>40</c:v>
                </c:pt>
                <c:pt idx="9">
                  <c:v>200</c:v>
                </c:pt>
                <c:pt idx="10">
                  <c:v>200</c:v>
                </c:pt>
                <c:pt idx="11">
                  <c:v>140</c:v>
                </c:pt>
                <c:pt idx="12">
                  <c:v>140</c:v>
                </c:pt>
                <c:pt idx="13">
                  <c:v>40</c:v>
                </c:pt>
                <c:pt idx="14">
                  <c:v>40</c:v>
                </c:pt>
                <c:pt idx="16">
                  <c:v>0</c:v>
                </c:pt>
                <c:pt idx="17">
                  <c:v>40</c:v>
                </c:pt>
                <c:pt idx="18">
                  <c:v>40</c:v>
                </c:pt>
                <c:pt idx="19">
                  <c:v>0</c:v>
                </c:pt>
                <c:pt idx="20">
                  <c:v>0</c:v>
                </c:pt>
                <c:pt idx="22">
                  <c:v>40</c:v>
                </c:pt>
                <c:pt idx="23">
                  <c:v>40</c:v>
                </c:pt>
                <c:pt idx="24">
                  <c:v>0</c:v>
                </c:pt>
                <c:pt idx="25">
                  <c:v>0</c:v>
                </c:pt>
                <c:pt idx="26">
                  <c:v>40</c:v>
                </c:pt>
                <c:pt idx="28">
                  <c:v>40</c:v>
                </c:pt>
                <c:pt idx="29">
                  <c:v>0</c:v>
                </c:pt>
                <c:pt idx="30">
                  <c:v>0</c:v>
                </c:pt>
                <c:pt idx="31">
                  <c:v>40</c:v>
                </c:pt>
                <c:pt idx="32">
                  <c:v>40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4">
                  <c:v>40</c:v>
                </c:pt>
                <c:pt idx="45">
                  <c:v>40</c:v>
                </c:pt>
                <c:pt idx="46">
                  <c:v>40</c:v>
                </c:pt>
                <c:pt idx="47">
                  <c:v>40</c:v>
                </c:pt>
                <c:pt idx="48">
                  <c:v>40</c:v>
                </c:pt>
                <c:pt idx="49">
                  <c:v>40</c:v>
                </c:pt>
                <c:pt idx="50">
                  <c:v>40</c:v>
                </c:pt>
                <c:pt idx="51">
                  <c:v>40</c:v>
                </c:pt>
                <c:pt idx="52">
                  <c:v>40</c:v>
                </c:pt>
                <c:pt idx="54">
                  <c:v>140</c:v>
                </c:pt>
                <c:pt idx="55">
                  <c:v>140</c:v>
                </c:pt>
                <c:pt idx="56">
                  <c:v>140</c:v>
                </c:pt>
                <c:pt idx="57">
                  <c:v>140</c:v>
                </c:pt>
                <c:pt idx="58">
                  <c:v>140</c:v>
                </c:pt>
                <c:pt idx="60">
                  <c:v>200</c:v>
                </c:pt>
                <c:pt idx="61">
                  <c:v>200</c:v>
                </c:pt>
                <c:pt idx="62">
                  <c:v>200</c:v>
                </c:pt>
                <c:pt idx="63">
                  <c:v>200</c:v>
                </c:pt>
                <c:pt idx="64">
                  <c:v>200</c:v>
                </c:pt>
                <c:pt idx="66">
                  <c:v>50</c:v>
                </c:pt>
                <c:pt idx="67">
                  <c:v>120</c:v>
                </c:pt>
                <c:pt idx="68">
                  <c:v>120</c:v>
                </c:pt>
                <c:pt idx="70">
                  <c:v>70</c:v>
                </c:pt>
                <c:pt idx="71">
                  <c:v>190</c:v>
                </c:pt>
                <c:pt idx="73">
                  <c:v>40</c:v>
                </c:pt>
                <c:pt idx="74">
                  <c:v>40</c:v>
                </c:pt>
                <c:pt idx="75">
                  <c:v>40</c:v>
                </c:pt>
              </c:numCache>
            </c:numRef>
          </c:yVal>
          <c:smooth val="0"/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10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Main!$E$12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Main!$D$12</c:f>
              <c:numCache>
                <c:formatCode>General</c:formatCode>
                <c:ptCount val="1"/>
                <c:pt idx="0">
                  <c:v>900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5062848"/>
        <c:axId val="335063240"/>
      </c:scatterChart>
      <c:valAx>
        <c:axId val="335062848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/>
                  <a:t>y</a:t>
                </a:r>
              </a:p>
            </c:rich>
          </c:tx>
          <c:layout>
            <c:manualLayout>
              <c:xMode val="edge"/>
              <c:yMode val="edge"/>
              <c:x val="0.80606283305495907"/>
              <c:y val="0.210526661141041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5063240"/>
        <c:crosses val="autoZero"/>
        <c:crossBetween val="midCat"/>
        <c:majorUnit val="200"/>
      </c:valAx>
      <c:valAx>
        <c:axId val="335063240"/>
        <c:scaling>
          <c:orientation val="maxMin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/>
                  <a:t>x</a:t>
                </a:r>
              </a:p>
            </c:rich>
          </c:tx>
          <c:layout>
            <c:manualLayout>
              <c:xMode val="edge"/>
              <c:yMode val="edge"/>
              <c:x val="6.9697287839020156E-2"/>
              <c:y val="0.700658930791545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5062848"/>
        <c:crosses val="autoZero"/>
        <c:crossBetween val="midCat"/>
        <c:majorUnit val="200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41</xdr:row>
      <xdr:rowOff>0</xdr:rowOff>
    </xdr:from>
    <xdr:to>
      <xdr:col>1</xdr:col>
      <xdr:colOff>0</xdr:colOff>
      <xdr:row>41</xdr:row>
      <xdr:rowOff>0</xdr:rowOff>
    </xdr:to>
    <xdr:sp macro="" textlink="">
      <xdr:nvSpPr>
        <xdr:cNvPr id="1042" name="Text Box 18"/>
        <xdr:cNvSpPr txBox="1">
          <a:spLocks noChangeArrowheads="1"/>
        </xdr:cNvSpPr>
      </xdr:nvSpPr>
      <xdr:spPr bwMode="auto">
        <a:xfrm>
          <a:off x="600075" y="690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000000"/>
              </a:solidFill>
              <a:latin typeface="Arial"/>
              <a:cs typeface="Arial"/>
            </a:rPr>
            <a:t>need explanation of visibility:  uvn system is right-handed, therefore, with vertices ccw, calculated normal is outward from face, therefore visibility when angle between v and lofs is greater than 90 deg, cos theta neg, so dot product is negative.</a:t>
          </a:r>
        </a:p>
      </xdr:txBody>
    </xdr:sp>
    <xdr:clientData/>
  </xdr:twoCellAnchor>
  <xdr:twoCellAnchor>
    <xdr:from>
      <xdr:col>1</xdr:col>
      <xdr:colOff>0</xdr:colOff>
      <xdr:row>41</xdr:row>
      <xdr:rowOff>0</xdr:rowOff>
    </xdr:from>
    <xdr:to>
      <xdr:col>1</xdr:col>
      <xdr:colOff>0</xdr:colOff>
      <xdr:row>41</xdr:row>
      <xdr:rowOff>0</xdr:rowOff>
    </xdr:to>
    <xdr:sp macro="" textlink="">
      <xdr:nvSpPr>
        <xdr:cNvPr id="1043" name="Text Box 19"/>
        <xdr:cNvSpPr txBox="1">
          <a:spLocks noChangeArrowheads="1"/>
        </xdr:cNvSpPr>
      </xdr:nvSpPr>
      <xdr:spPr bwMode="auto">
        <a:xfrm>
          <a:off x="600075" y="690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step 11: for each face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list of verts ccw: 2 marks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calc of v: 4 marks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lofs: 1 mark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dot prod: 1 mark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interp: 1 mark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total 9 each, for </a:t>
          </a:r>
          <a:r>
            <a:rPr lang="en-CA" sz="1000" b="1" i="0" strike="noStrike">
              <a:solidFill>
                <a:srgbClr val="FF0000"/>
              </a:solidFill>
              <a:latin typeface="Arial"/>
              <a:cs typeface="Arial"/>
            </a:rPr>
            <a:t>18 in all</a:t>
          </a:r>
        </a:p>
      </xdr:txBody>
    </xdr:sp>
    <xdr:clientData/>
  </xdr:twoCellAnchor>
  <xdr:twoCellAnchor>
    <xdr:from>
      <xdr:col>1</xdr:col>
      <xdr:colOff>0</xdr:colOff>
      <xdr:row>41</xdr:row>
      <xdr:rowOff>0</xdr:rowOff>
    </xdr:from>
    <xdr:to>
      <xdr:col>1</xdr:col>
      <xdr:colOff>0</xdr:colOff>
      <xdr:row>41</xdr:row>
      <xdr:rowOff>0</xdr:rowOff>
    </xdr:to>
    <xdr:sp macro="" textlink="">
      <xdr:nvSpPr>
        <xdr:cNvPr id="1044" name="Text Box 20"/>
        <xdr:cNvSpPr txBox="1">
          <a:spLocks noChangeArrowheads="1"/>
        </xdr:cNvSpPr>
      </xdr:nvSpPr>
      <xdr:spPr bwMode="auto">
        <a:xfrm>
          <a:off x="600075" y="690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Step 11, cont'd:  2 marks for explanation of visibility criterion.</a:t>
          </a:r>
        </a:p>
      </xdr:txBody>
    </xdr:sp>
    <xdr:clientData/>
  </xdr:twoCellAnchor>
  <xdr:twoCellAnchor>
    <xdr:from>
      <xdr:col>1</xdr:col>
      <xdr:colOff>0</xdr:colOff>
      <xdr:row>41</xdr:row>
      <xdr:rowOff>0</xdr:rowOff>
    </xdr:from>
    <xdr:to>
      <xdr:col>1</xdr:col>
      <xdr:colOff>0</xdr:colOff>
      <xdr:row>41</xdr:row>
      <xdr:rowOff>0</xdr:rowOff>
    </xdr:to>
    <xdr:sp macro="" textlink="">
      <xdr:nvSpPr>
        <xdr:cNvPr id="1046" name="Text Box 22"/>
        <xdr:cNvSpPr txBox="1">
          <a:spLocks noChangeArrowheads="1"/>
        </xdr:cNvSpPr>
      </xdr:nvSpPr>
      <xdr:spPr bwMode="auto">
        <a:xfrm>
          <a:off x="600075" y="690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step 13:  nothing to mark -- I must have accidentally deleted the instruction to print out the results, etc. so step 11 is the last step requiring proof of work.</a:t>
          </a:r>
        </a:p>
      </xdr:txBody>
    </xdr:sp>
    <xdr:clientData/>
  </xdr:twoCellAnchor>
  <xdr:twoCellAnchor>
    <xdr:from>
      <xdr:col>1</xdr:col>
      <xdr:colOff>0</xdr:colOff>
      <xdr:row>41</xdr:row>
      <xdr:rowOff>0</xdr:rowOff>
    </xdr:from>
    <xdr:to>
      <xdr:col>1</xdr:col>
      <xdr:colOff>0</xdr:colOff>
      <xdr:row>41</xdr:row>
      <xdr:rowOff>0</xdr:rowOff>
    </xdr:to>
    <xdr:sp macro="" textlink="">
      <xdr:nvSpPr>
        <xdr:cNvPr id="1047" name="Text Box 23"/>
        <xdr:cNvSpPr txBox="1">
          <a:spLocks noChangeArrowheads="1"/>
        </xdr:cNvSpPr>
      </xdr:nvSpPr>
      <xdr:spPr bwMode="auto">
        <a:xfrm>
          <a:off x="600075" y="690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if use u*v*n*, -4 marks.</a:t>
          </a:r>
        </a:p>
      </xdr:txBody>
    </xdr:sp>
    <xdr:clientData/>
  </xdr:twoCellAnchor>
  <xdr:twoCellAnchor>
    <xdr:from>
      <xdr:col>6</xdr:col>
      <xdr:colOff>9525</xdr:colOff>
      <xdr:row>22</xdr:row>
      <xdr:rowOff>19050</xdr:rowOff>
    </xdr:from>
    <xdr:to>
      <xdr:col>10</xdr:col>
      <xdr:colOff>47625</xdr:colOff>
      <xdr:row>32</xdr:row>
      <xdr:rowOff>142875</xdr:rowOff>
    </xdr:to>
    <xdr:sp macro="" textlink="">
      <xdr:nvSpPr>
        <xdr:cNvPr id="1048" name="Text Box 24"/>
        <xdr:cNvSpPr txBox="1">
          <a:spLocks noChangeArrowheads="1"/>
        </xdr:cNvSpPr>
      </xdr:nvSpPr>
      <xdr:spPr bwMode="auto">
        <a:xfrm>
          <a:off x="3609975" y="3838575"/>
          <a:ext cx="2438400" cy="17526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Tip # 4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This is a list of the x, y, z, and h coordinates for the shape under view in this assignment.  The cells with a colored background are adjustable.  All other values are computed by formula from the values in these adjustable cells.  </a:t>
          </a: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0</xdr:colOff>
      <xdr:row>41</xdr:row>
      <xdr:rowOff>0</xdr:rowOff>
    </xdr:from>
    <xdr:to>
      <xdr:col>1</xdr:col>
      <xdr:colOff>0</xdr:colOff>
      <xdr:row>41</xdr:row>
      <xdr:rowOff>0</xdr:rowOff>
    </xdr:to>
    <xdr:graphicFrame macro="">
      <xdr:nvGraphicFramePr>
        <xdr:cNvPr id="415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41</xdr:row>
      <xdr:rowOff>0</xdr:rowOff>
    </xdr:from>
    <xdr:to>
      <xdr:col>0</xdr:col>
      <xdr:colOff>0</xdr:colOff>
      <xdr:row>41</xdr:row>
      <xdr:rowOff>0</xdr:rowOff>
    </xdr:to>
    <xdr:graphicFrame macro="">
      <xdr:nvGraphicFramePr>
        <xdr:cNvPr id="4151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228600</xdr:colOff>
      <xdr:row>15</xdr:row>
      <xdr:rowOff>28575</xdr:rowOff>
    </xdr:from>
    <xdr:to>
      <xdr:col>4</xdr:col>
      <xdr:colOff>47625</xdr:colOff>
      <xdr:row>20</xdr:row>
      <xdr:rowOff>95250</xdr:rowOff>
    </xdr:to>
    <xdr:sp macro="" textlink="">
      <xdr:nvSpPr>
        <xdr:cNvPr id="1057" name="Text Box 33"/>
        <xdr:cNvSpPr txBox="1">
          <a:spLocks noChangeArrowheads="1"/>
        </xdr:cNvSpPr>
      </xdr:nvSpPr>
      <xdr:spPr bwMode="auto">
        <a:xfrm>
          <a:off x="228600" y="2695575"/>
          <a:ext cx="2219325" cy="895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Tip # 1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You can modify what clicking these buttons does by opening the visual basic editor.  They are presently set up to modify cell E7 (the value of </a:t>
          </a:r>
          <a:r>
            <a:rPr lang="en-CA" sz="1000" b="0" i="0" strike="noStrike">
              <a:solidFill>
                <a:srgbClr val="FF0000"/>
              </a:solidFill>
              <a:latin typeface="Symbol"/>
            </a:rPr>
            <a:t>q</a:t>
          </a: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).</a:t>
          </a: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5</xdr:col>
      <xdr:colOff>485775</xdr:colOff>
      <xdr:row>5</xdr:row>
      <xdr:rowOff>152400</xdr:rowOff>
    </xdr:from>
    <xdr:to>
      <xdr:col>7</xdr:col>
      <xdr:colOff>390525</xdr:colOff>
      <xdr:row>7</xdr:row>
      <xdr:rowOff>123825</xdr:rowOff>
    </xdr:to>
    <xdr:sp macro="" textlink="">
      <xdr:nvSpPr>
        <xdr:cNvPr id="4153" name="Line 34"/>
        <xdr:cNvSpPr>
          <a:spLocks noChangeShapeType="1"/>
        </xdr:cNvSpPr>
      </xdr:nvSpPr>
      <xdr:spPr bwMode="auto">
        <a:xfrm flipH="1">
          <a:off x="3486150" y="1190625"/>
          <a:ext cx="1104900" cy="2952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7</xdr:col>
      <xdr:colOff>438150</xdr:colOff>
      <xdr:row>2</xdr:row>
      <xdr:rowOff>19050</xdr:rowOff>
    </xdr:from>
    <xdr:to>
      <xdr:col>11</xdr:col>
      <xdr:colOff>257175</xdr:colOff>
      <xdr:row>15</xdr:row>
      <xdr:rowOff>0</xdr:rowOff>
    </xdr:to>
    <xdr:sp macro="" textlink="">
      <xdr:nvSpPr>
        <xdr:cNvPr id="1071" name="Text Box 47"/>
        <xdr:cNvSpPr txBox="1">
          <a:spLocks noChangeArrowheads="1"/>
        </xdr:cNvSpPr>
      </xdr:nvSpPr>
      <xdr:spPr bwMode="auto">
        <a:xfrm>
          <a:off x="4638675" y="504825"/>
          <a:ext cx="2219325" cy="2162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Tip # 2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To understand cylindrical coordinates imagine a tin can.  y=0 is the bottom of the tin can, and positive values of y represent positions on the can above the base.  r is the radius of the can.  Angle </a:t>
          </a:r>
          <a:r>
            <a:rPr lang="en-CA" sz="1000" b="0" i="0" strike="noStrike">
              <a:solidFill>
                <a:srgbClr val="FF0000"/>
              </a:solidFill>
              <a:latin typeface="Symbol"/>
            </a:rPr>
            <a:t>q</a:t>
          </a: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 measures the angle around the can. </a:t>
          </a: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If you keep a constant r and a constant y and let </a:t>
          </a:r>
          <a:r>
            <a:rPr lang="en-CA" sz="1000" b="0" i="0" strike="noStrike">
              <a:solidFill>
                <a:srgbClr val="FF0000"/>
              </a:solidFill>
              <a:latin typeface="Symbol"/>
            </a:rPr>
            <a:t>q</a:t>
          </a: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 run from 0 to 2</a:t>
          </a:r>
          <a:r>
            <a:rPr lang="en-CA" sz="1000" b="0" i="0" strike="noStrike">
              <a:solidFill>
                <a:srgbClr val="FF0000"/>
              </a:solidFill>
              <a:latin typeface="Symbol"/>
            </a:rPr>
            <a:t>p</a:t>
          </a: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 then you follow a circular path around the can at the specified height y.</a:t>
          </a:r>
        </a:p>
      </xdr:txBody>
    </xdr:sp>
    <xdr:clientData/>
  </xdr:twoCellAnchor>
  <xdr:twoCellAnchor>
    <xdr:from>
      <xdr:col>1</xdr:col>
      <xdr:colOff>285750</xdr:colOff>
      <xdr:row>12</xdr:row>
      <xdr:rowOff>57150</xdr:rowOff>
    </xdr:from>
    <xdr:to>
      <xdr:col>2</xdr:col>
      <xdr:colOff>0</xdr:colOff>
      <xdr:row>15</xdr:row>
      <xdr:rowOff>28575</xdr:rowOff>
    </xdr:to>
    <xdr:sp macro="" textlink="">
      <xdr:nvSpPr>
        <xdr:cNvPr id="4155" name="Line 48"/>
        <xdr:cNvSpPr>
          <a:spLocks noChangeShapeType="1"/>
        </xdr:cNvSpPr>
      </xdr:nvSpPr>
      <xdr:spPr bwMode="auto">
        <a:xfrm flipH="1" flipV="1">
          <a:off x="885825" y="2238375"/>
          <a:ext cx="314325" cy="457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5</xdr:col>
      <xdr:colOff>123825</xdr:colOff>
      <xdr:row>15</xdr:row>
      <xdr:rowOff>38100</xdr:rowOff>
    </xdr:from>
    <xdr:to>
      <xdr:col>9</xdr:col>
      <xdr:colOff>285750</xdr:colOff>
      <xdr:row>18</xdr:row>
      <xdr:rowOff>142875</xdr:rowOff>
    </xdr:to>
    <xdr:sp macro="" textlink="">
      <xdr:nvSpPr>
        <xdr:cNvPr id="1073" name="Text Box 49"/>
        <xdr:cNvSpPr txBox="1">
          <a:spLocks noChangeArrowheads="1"/>
        </xdr:cNvSpPr>
      </xdr:nvSpPr>
      <xdr:spPr bwMode="auto">
        <a:xfrm>
          <a:off x="3124200" y="2705100"/>
          <a:ext cx="2562225" cy="6096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Tip # 3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The rectangular coordinates of the VRP are computed from the cylindrical coordinates</a:t>
          </a: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5</xdr:col>
      <xdr:colOff>514350</xdr:colOff>
      <xdr:row>11</xdr:row>
      <xdr:rowOff>104775</xdr:rowOff>
    </xdr:from>
    <xdr:to>
      <xdr:col>6</xdr:col>
      <xdr:colOff>495300</xdr:colOff>
      <xdr:row>15</xdr:row>
      <xdr:rowOff>38100</xdr:rowOff>
    </xdr:to>
    <xdr:sp macro="" textlink="">
      <xdr:nvSpPr>
        <xdr:cNvPr id="4157" name="Line 50"/>
        <xdr:cNvSpPr>
          <a:spLocks noChangeShapeType="1"/>
        </xdr:cNvSpPr>
      </xdr:nvSpPr>
      <xdr:spPr bwMode="auto">
        <a:xfrm flipH="1" flipV="1">
          <a:off x="3514725" y="2114550"/>
          <a:ext cx="581025" cy="5905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76200</xdr:colOff>
      <xdr:row>4</xdr:row>
      <xdr:rowOff>19050</xdr:rowOff>
    </xdr:from>
    <xdr:to>
      <xdr:col>2</xdr:col>
      <xdr:colOff>371475</xdr:colOff>
      <xdr:row>9</xdr:row>
      <xdr:rowOff>114300</xdr:rowOff>
    </xdr:to>
    <xdr:sp macro="" textlink="">
      <xdr:nvSpPr>
        <xdr:cNvPr id="4158" name="AutoShape 53"/>
        <xdr:cNvSpPr>
          <a:spLocks/>
        </xdr:cNvSpPr>
      </xdr:nvSpPr>
      <xdr:spPr bwMode="auto">
        <a:xfrm>
          <a:off x="1276350" y="885825"/>
          <a:ext cx="295275" cy="914400"/>
        </a:xfrm>
        <a:prstGeom prst="rightBrace">
          <a:avLst>
            <a:gd name="adj1" fmla="val 25806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400050</xdr:colOff>
      <xdr:row>6</xdr:row>
      <xdr:rowOff>152400</xdr:rowOff>
    </xdr:from>
    <xdr:to>
      <xdr:col>3</xdr:col>
      <xdr:colOff>571500</xdr:colOff>
      <xdr:row>7</xdr:row>
      <xdr:rowOff>76200</xdr:rowOff>
    </xdr:to>
    <xdr:cxnSp macro="">
      <xdr:nvCxnSpPr>
        <xdr:cNvPr id="4159" name="AutoShape 62"/>
        <xdr:cNvCxnSpPr>
          <a:cxnSpLocks noChangeShapeType="1"/>
        </xdr:cNvCxnSpPr>
      </xdr:nvCxnSpPr>
      <xdr:spPr bwMode="auto">
        <a:xfrm>
          <a:off x="1600200" y="1352550"/>
          <a:ext cx="771525" cy="85725"/>
        </a:xfrm>
        <a:prstGeom prst="bentConnector3">
          <a:avLst>
            <a:gd name="adj1" fmla="val 81481"/>
          </a:avLst>
        </a:prstGeom>
        <a:noFill/>
        <a:ln w="9525">
          <a:solidFill>
            <a:srgbClr val="000000"/>
          </a:solidFill>
          <a:miter lim="800000"/>
          <a:headEnd/>
          <a:tailEnd type="triangle" w="med" len="med"/>
        </a:ln>
      </xdr:spPr>
    </xdr:cxnSp>
    <xdr:clientData/>
  </xdr:twoCellAnchor>
  <xdr:twoCellAnchor>
    <xdr:from>
      <xdr:col>12</xdr:col>
      <xdr:colOff>19050</xdr:colOff>
      <xdr:row>1</xdr:row>
      <xdr:rowOff>219075</xdr:rowOff>
    </xdr:from>
    <xdr:to>
      <xdr:col>17</xdr:col>
      <xdr:colOff>161925</xdr:colOff>
      <xdr:row>19</xdr:row>
      <xdr:rowOff>9525</xdr:rowOff>
    </xdr:to>
    <xdr:graphicFrame macro="">
      <xdr:nvGraphicFramePr>
        <xdr:cNvPr id="4160" name="Chart 10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66675</xdr:colOff>
      <xdr:row>23</xdr:row>
      <xdr:rowOff>95250</xdr:rowOff>
    </xdr:from>
    <xdr:to>
      <xdr:col>6</xdr:col>
      <xdr:colOff>9525</xdr:colOff>
      <xdr:row>35</xdr:row>
      <xdr:rowOff>57150</xdr:rowOff>
    </xdr:to>
    <xdr:sp macro="" textlink="">
      <xdr:nvSpPr>
        <xdr:cNvPr id="4161" name="Line 1025"/>
        <xdr:cNvSpPr>
          <a:spLocks noChangeShapeType="1"/>
        </xdr:cNvSpPr>
      </xdr:nvSpPr>
      <xdr:spPr bwMode="auto">
        <a:xfrm flipH="1">
          <a:off x="3067050" y="4076700"/>
          <a:ext cx="542925" cy="1914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12</xdr:col>
      <xdr:colOff>400050</xdr:colOff>
      <xdr:row>19</xdr:row>
      <xdr:rowOff>95250</xdr:rowOff>
    </xdr:from>
    <xdr:to>
      <xdr:col>16</xdr:col>
      <xdr:colOff>76200</xdr:colOff>
      <xdr:row>44</xdr:row>
      <xdr:rowOff>95250</xdr:rowOff>
    </xdr:to>
    <xdr:sp macro="" textlink="">
      <xdr:nvSpPr>
        <xdr:cNvPr id="4098" name="Text Box 1026"/>
        <xdr:cNvSpPr txBox="1">
          <a:spLocks noChangeArrowheads="1"/>
        </xdr:cNvSpPr>
      </xdr:nvSpPr>
      <xdr:spPr bwMode="auto">
        <a:xfrm>
          <a:off x="7600950" y="3429000"/>
          <a:ext cx="2076450" cy="40576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Tip # 5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Suppose you wish to draw a line from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a to c and a second line from b to d and a third line from k to l to m.  Here is an easy way to do it:</a:t>
          </a: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In a column put: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a, c, blank, b, d, blank, k, l, m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(each blank means this line is finished)</a:t>
          </a: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Then use the VLOOKUP function as illustrated here to copy in the coordinates.</a:t>
          </a: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Delete any #N/A entries.  </a:t>
          </a: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Then make a scatter plot with straight lines.  Click on the chart to see where the data is coming from.</a:t>
          </a:r>
        </a:p>
      </xdr:txBody>
    </xdr:sp>
    <xdr:clientData/>
  </xdr:twoCellAnchor>
  <xdr:twoCellAnchor>
    <xdr:from>
      <xdr:col>16</xdr:col>
      <xdr:colOff>76200</xdr:colOff>
      <xdr:row>19</xdr:row>
      <xdr:rowOff>19050</xdr:rowOff>
    </xdr:from>
    <xdr:to>
      <xdr:col>18</xdr:col>
      <xdr:colOff>0</xdr:colOff>
      <xdr:row>29</xdr:row>
      <xdr:rowOff>85725</xdr:rowOff>
    </xdr:to>
    <xdr:sp macro="" textlink="">
      <xdr:nvSpPr>
        <xdr:cNvPr id="4163" name="Line 1028"/>
        <xdr:cNvSpPr>
          <a:spLocks noChangeShapeType="1"/>
        </xdr:cNvSpPr>
      </xdr:nvSpPr>
      <xdr:spPr bwMode="auto">
        <a:xfrm flipV="1">
          <a:off x="9677400" y="3352800"/>
          <a:ext cx="1123950" cy="1695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3</xdr:row>
          <xdr:rowOff>95250</xdr:rowOff>
        </xdr:from>
        <xdr:to>
          <xdr:col>1</xdr:col>
          <xdr:colOff>552450</xdr:colOff>
          <xdr:row>5</xdr:row>
          <xdr:rowOff>38100</xdr:rowOff>
        </xdr:to>
        <xdr:sp macro="" textlink="">
          <xdr:nvSpPr>
            <xdr:cNvPr id="1049" name="cmdRezero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6</xdr:row>
          <xdr:rowOff>57150</xdr:rowOff>
        </xdr:from>
        <xdr:to>
          <xdr:col>1</xdr:col>
          <xdr:colOff>561975</xdr:colOff>
          <xdr:row>8</xdr:row>
          <xdr:rowOff>57150</xdr:rowOff>
        </xdr:to>
        <xdr:sp macro="" textlink="">
          <xdr:nvSpPr>
            <xdr:cNvPr id="1050" name="cmdIncrement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9</xdr:row>
          <xdr:rowOff>19050</xdr:rowOff>
        </xdr:from>
        <xdr:to>
          <xdr:col>1</xdr:col>
          <xdr:colOff>571500</xdr:colOff>
          <xdr:row>11</xdr:row>
          <xdr:rowOff>19050</xdr:rowOff>
        </xdr:to>
        <xdr:sp macro="" textlink="">
          <xdr:nvSpPr>
            <xdr:cNvPr id="1056" name="cmdDecrement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9"/>
  <sheetViews>
    <sheetView workbookViewId="0">
      <selection activeCell="C4" sqref="C4"/>
    </sheetView>
  </sheetViews>
  <sheetFormatPr defaultRowHeight="12.75" x14ac:dyDescent="0.2"/>
  <cols>
    <col min="1" max="1" width="15.5703125" bestFit="1" customWidth="1"/>
  </cols>
  <sheetData>
    <row r="1" spans="1:3" x14ac:dyDescent="0.2">
      <c r="A1" s="39">
        <v>39524.540162037039</v>
      </c>
      <c r="B1" s="40" t="s">
        <v>40</v>
      </c>
      <c r="C1" s="40" t="s">
        <v>36</v>
      </c>
    </row>
    <row r="2" spans="1:3" x14ac:dyDescent="0.2">
      <c r="A2" s="39">
        <v>39524.543067129627</v>
      </c>
      <c r="B2" s="40" t="s">
        <v>41</v>
      </c>
      <c r="C2" s="40" t="s">
        <v>36</v>
      </c>
    </row>
    <row r="3" spans="1:3" x14ac:dyDescent="0.2">
      <c r="A3" s="39">
        <v>39524.654027777775</v>
      </c>
      <c r="B3" s="40" t="s">
        <v>41</v>
      </c>
      <c r="C3" s="40" t="s">
        <v>36</v>
      </c>
    </row>
    <row r="4" spans="1:3" x14ac:dyDescent="0.2">
      <c r="A4" s="39">
        <v>39524.674178240741</v>
      </c>
      <c r="B4" s="40" t="s">
        <v>42</v>
      </c>
      <c r="C4" s="40" t="s">
        <v>36</v>
      </c>
    </row>
    <row r="5" spans="1:3" x14ac:dyDescent="0.2">
      <c r="A5" s="39">
        <v>39524.674224537041</v>
      </c>
      <c r="B5" s="40" t="s">
        <v>42</v>
      </c>
      <c r="C5" s="40" t="s">
        <v>36</v>
      </c>
    </row>
    <row r="6" spans="1:3" x14ac:dyDescent="0.2">
      <c r="A6" s="49">
        <v>40500.448611111111</v>
      </c>
      <c r="B6" s="50" t="s">
        <v>43</v>
      </c>
      <c r="C6" s="50" t="s">
        <v>36</v>
      </c>
    </row>
    <row r="7" spans="1:3" x14ac:dyDescent="0.2">
      <c r="A7" s="49">
        <v>40500.448935185188</v>
      </c>
      <c r="B7" s="50" t="s">
        <v>43</v>
      </c>
      <c r="C7" s="50" t="s">
        <v>36</v>
      </c>
    </row>
    <row r="8" spans="1:3" x14ac:dyDescent="0.2">
      <c r="A8" s="39">
        <v>41596.521932870368</v>
      </c>
      <c r="B8" s="40" t="s">
        <v>46</v>
      </c>
      <c r="C8" s="40" t="s">
        <v>45</v>
      </c>
    </row>
    <row r="9" spans="1:3" x14ac:dyDescent="0.2">
      <c r="A9" s="39">
        <v>41596.521990740737</v>
      </c>
      <c r="B9" s="40" t="s">
        <v>46</v>
      </c>
      <c r="C9" s="40" t="s">
        <v>45</v>
      </c>
    </row>
  </sheetData>
  <phoneticPr fontId="8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81"/>
  <sheetViews>
    <sheetView tabSelected="1" workbookViewId="0">
      <selection activeCell="L2" sqref="L2"/>
    </sheetView>
  </sheetViews>
  <sheetFormatPr defaultColWidth="9" defaultRowHeight="12.75" x14ac:dyDescent="0.2"/>
  <sheetData>
    <row r="1" spans="1:21" ht="18" x14ac:dyDescent="0.25">
      <c r="A1" s="41" t="s">
        <v>45</v>
      </c>
    </row>
    <row r="2" spans="1:21" ht="20.25" x14ac:dyDescent="0.3">
      <c r="A2" s="1" t="s">
        <v>44</v>
      </c>
    </row>
    <row r="3" spans="1:21" ht="13.5" thickBot="1" x14ac:dyDescent="0.25"/>
    <row r="4" spans="1:21" ht="16.5" thickBot="1" x14ac:dyDescent="0.3">
      <c r="A4" s="24"/>
      <c r="B4" s="10"/>
      <c r="C4" s="10"/>
      <c r="D4" s="27" t="s">
        <v>20</v>
      </c>
      <c r="E4" s="10"/>
      <c r="F4" s="10"/>
      <c r="G4" s="11"/>
      <c r="S4" t="s">
        <v>33</v>
      </c>
    </row>
    <row r="5" spans="1:21" ht="13.5" thickTop="1" x14ac:dyDescent="0.2">
      <c r="A5" s="25"/>
      <c r="B5" s="4"/>
      <c r="C5" s="4"/>
      <c r="D5" s="4"/>
      <c r="E5" s="4"/>
      <c r="F5" s="4"/>
      <c r="G5" s="7"/>
      <c r="S5" s="34" t="s">
        <v>3</v>
      </c>
      <c r="T5" s="35">
        <f>VLOOKUP(S5, $A$25:$E$57, 3)</f>
        <v>0</v>
      </c>
      <c r="U5" s="36">
        <f>VLOOKUP(S5, $A$25:$E$57,  2)</f>
        <v>0</v>
      </c>
    </row>
    <row r="6" spans="1:21" x14ac:dyDescent="0.2">
      <c r="A6" s="6"/>
      <c r="B6" s="4"/>
      <c r="C6" s="4"/>
      <c r="D6" s="4" t="s">
        <v>18</v>
      </c>
      <c r="E6" s="4"/>
      <c r="F6" s="4"/>
      <c r="G6" s="7"/>
      <c r="S6" s="37" t="s">
        <v>25</v>
      </c>
      <c r="T6" s="4">
        <f t="shared" ref="T6:T68" si="0">VLOOKUP(S6, $A$25:$E$57, 3)</f>
        <v>0</v>
      </c>
      <c r="U6" s="38">
        <f t="shared" ref="U6:U65" si="1">VLOOKUP(S6, $A$25:$E$57,  2)</f>
        <v>200</v>
      </c>
    </row>
    <row r="7" spans="1:21" x14ac:dyDescent="0.2">
      <c r="A7" s="17"/>
      <c r="B7" s="13"/>
      <c r="C7" s="4"/>
      <c r="D7" s="13" t="s">
        <v>16</v>
      </c>
      <c r="E7" s="18" t="s">
        <v>17</v>
      </c>
      <c r="F7" s="13" t="s">
        <v>2</v>
      </c>
      <c r="G7" s="7"/>
      <c r="S7" s="37" t="s">
        <v>26</v>
      </c>
      <c r="T7" s="4">
        <f t="shared" si="0"/>
        <v>120</v>
      </c>
      <c r="U7" s="38">
        <f t="shared" si="1"/>
        <v>200</v>
      </c>
    </row>
    <row r="8" spans="1:21" x14ac:dyDescent="0.2">
      <c r="A8" s="17"/>
      <c r="B8" s="13"/>
      <c r="C8" s="4"/>
      <c r="D8" s="13">
        <f>3*MAX(B32,C32)</f>
        <v>900</v>
      </c>
      <c r="E8" s="21">
        <v>0</v>
      </c>
      <c r="F8" s="13">
        <f>8*D32</f>
        <v>1600</v>
      </c>
      <c r="G8" s="7"/>
      <c r="S8" s="37" t="s">
        <v>0</v>
      </c>
      <c r="T8" s="4">
        <f t="shared" si="0"/>
        <v>120</v>
      </c>
      <c r="U8" s="38">
        <f t="shared" si="1"/>
        <v>140</v>
      </c>
    </row>
    <row r="9" spans="1:21" x14ac:dyDescent="0.2">
      <c r="A9" s="17"/>
      <c r="B9" s="13"/>
      <c r="C9" s="4"/>
      <c r="D9" s="19"/>
      <c r="E9" s="13"/>
      <c r="F9" s="4"/>
      <c r="G9" s="7"/>
      <c r="S9" s="37" t="s">
        <v>22</v>
      </c>
      <c r="T9" s="4">
        <f t="shared" si="0"/>
        <v>300</v>
      </c>
      <c r="U9" s="38">
        <f t="shared" si="1"/>
        <v>140</v>
      </c>
    </row>
    <row r="10" spans="1:21" x14ac:dyDescent="0.2">
      <c r="A10" s="17"/>
      <c r="B10" s="20"/>
      <c r="C10" s="4"/>
      <c r="D10" s="4" t="s">
        <v>19</v>
      </c>
      <c r="E10" s="4"/>
      <c r="F10" s="4"/>
      <c r="G10" s="7"/>
      <c r="S10" s="37" t="s">
        <v>21</v>
      </c>
      <c r="T10" s="4">
        <f t="shared" si="0"/>
        <v>300</v>
      </c>
      <c r="U10" s="38">
        <f t="shared" si="1"/>
        <v>0</v>
      </c>
    </row>
    <row r="11" spans="1:21" x14ac:dyDescent="0.2">
      <c r="A11" s="17"/>
      <c r="B11" s="4"/>
      <c r="C11" s="4"/>
      <c r="D11" s="13" t="s">
        <v>0</v>
      </c>
      <c r="E11" s="13" t="s">
        <v>1</v>
      </c>
      <c r="F11" s="13" t="s">
        <v>2</v>
      </c>
      <c r="G11" s="7"/>
      <c r="S11" s="37" t="s">
        <v>3</v>
      </c>
      <c r="T11" s="4">
        <f t="shared" si="0"/>
        <v>0</v>
      </c>
      <c r="U11" s="38">
        <f t="shared" si="1"/>
        <v>0</v>
      </c>
    </row>
    <row r="12" spans="1:21" ht="13.5" thickBot="1" x14ac:dyDescent="0.25">
      <c r="A12" s="26"/>
      <c r="B12" s="8"/>
      <c r="C12" s="8"/>
      <c r="D12" s="15">
        <f>D8*COS(E8)</f>
        <v>900</v>
      </c>
      <c r="E12" s="15">
        <f>D8*SIN(E8)</f>
        <v>0</v>
      </c>
      <c r="F12" s="15">
        <f>F8</f>
        <v>1600</v>
      </c>
      <c r="G12" s="9"/>
      <c r="S12" s="37"/>
      <c r="T12" s="4"/>
      <c r="U12" s="38"/>
    </row>
    <row r="13" spans="1:21" x14ac:dyDescent="0.2">
      <c r="A13" s="4"/>
      <c r="B13" s="19"/>
      <c r="C13" s="4"/>
      <c r="D13" s="19"/>
      <c r="E13" s="4"/>
      <c r="F13" s="4"/>
      <c r="G13" s="4"/>
      <c r="S13" s="37" t="s">
        <v>16</v>
      </c>
      <c r="T13" s="4">
        <f t="shared" si="0"/>
        <v>0</v>
      </c>
      <c r="U13" s="38">
        <f t="shared" si="1"/>
        <v>40</v>
      </c>
    </row>
    <row r="14" spans="1:21" x14ac:dyDescent="0.2">
      <c r="B14" s="3"/>
      <c r="D14" s="3"/>
      <c r="S14" s="37" t="s">
        <v>24</v>
      </c>
      <c r="T14" s="4">
        <f t="shared" si="0"/>
        <v>0</v>
      </c>
      <c r="U14" s="38">
        <f t="shared" si="1"/>
        <v>200</v>
      </c>
    </row>
    <row r="15" spans="1:21" x14ac:dyDescent="0.2">
      <c r="B15" s="3"/>
      <c r="D15" s="3"/>
      <c r="S15" s="37" t="s">
        <v>27</v>
      </c>
      <c r="T15" s="4">
        <f t="shared" si="0"/>
        <v>120</v>
      </c>
      <c r="U15" s="38">
        <f t="shared" si="1"/>
        <v>200</v>
      </c>
    </row>
    <row r="16" spans="1:21" x14ac:dyDescent="0.2">
      <c r="B16" s="3"/>
      <c r="D16" s="3"/>
      <c r="S16" s="37" t="s">
        <v>28</v>
      </c>
      <c r="T16" s="4">
        <f t="shared" si="0"/>
        <v>120</v>
      </c>
      <c r="U16" s="38">
        <f t="shared" si="1"/>
        <v>140</v>
      </c>
    </row>
    <row r="17" spans="1:21" ht="14.45" customHeight="1" x14ac:dyDescent="0.2">
      <c r="D17" s="3"/>
      <c r="S17" s="37" t="s">
        <v>23</v>
      </c>
      <c r="T17" s="4">
        <f t="shared" si="0"/>
        <v>300</v>
      </c>
      <c r="U17" s="38">
        <f t="shared" si="1"/>
        <v>140</v>
      </c>
    </row>
    <row r="18" spans="1:21" x14ac:dyDescent="0.2">
      <c r="S18" s="37" t="s">
        <v>17</v>
      </c>
      <c r="T18" s="4">
        <f t="shared" si="0"/>
        <v>300</v>
      </c>
      <c r="U18" s="38">
        <f t="shared" si="1"/>
        <v>40</v>
      </c>
    </row>
    <row r="19" spans="1:21" x14ac:dyDescent="0.2">
      <c r="S19" s="37" t="s">
        <v>16</v>
      </c>
      <c r="T19" s="4">
        <f t="shared" si="0"/>
        <v>0</v>
      </c>
      <c r="U19" s="38">
        <f t="shared" si="1"/>
        <v>40</v>
      </c>
    </row>
    <row r="20" spans="1:21" x14ac:dyDescent="0.2">
      <c r="S20" s="37"/>
      <c r="T20" s="4"/>
      <c r="U20" s="38"/>
    </row>
    <row r="21" spans="1:21" x14ac:dyDescent="0.2">
      <c r="S21" s="37" t="s">
        <v>6</v>
      </c>
      <c r="T21" s="4">
        <f t="shared" si="0"/>
        <v>0</v>
      </c>
      <c r="U21" s="38">
        <f t="shared" si="1"/>
        <v>0</v>
      </c>
    </row>
    <row r="22" spans="1:21" x14ac:dyDescent="0.2">
      <c r="S22" s="37" t="s">
        <v>7</v>
      </c>
      <c r="T22" s="4">
        <f t="shared" si="0"/>
        <v>0</v>
      </c>
      <c r="U22" s="38">
        <f t="shared" si="1"/>
        <v>40</v>
      </c>
    </row>
    <row r="23" spans="1:21" x14ac:dyDescent="0.2">
      <c r="A23" t="s">
        <v>35</v>
      </c>
      <c r="C23" s="2"/>
      <c r="S23" s="37" t="s">
        <v>8</v>
      </c>
      <c r="T23" s="4">
        <f t="shared" si="0"/>
        <v>90</v>
      </c>
      <c r="U23" s="38">
        <f t="shared" si="1"/>
        <v>40</v>
      </c>
    </row>
    <row r="24" spans="1:21" ht="13.5" thickBot="1" x14ac:dyDescent="0.25">
      <c r="B24" s="5" t="s">
        <v>0</v>
      </c>
      <c r="C24" s="5" t="s">
        <v>1</v>
      </c>
      <c r="D24" s="5" t="s">
        <v>2</v>
      </c>
      <c r="E24" s="5" t="s">
        <v>4</v>
      </c>
      <c r="S24" s="37" t="s">
        <v>10</v>
      </c>
      <c r="T24" s="4">
        <f t="shared" si="0"/>
        <v>90</v>
      </c>
      <c r="U24" s="38">
        <f t="shared" si="1"/>
        <v>0</v>
      </c>
    </row>
    <row r="25" spans="1:21" x14ac:dyDescent="0.2">
      <c r="A25" s="22" t="s">
        <v>3</v>
      </c>
      <c r="B25" s="30">
        <v>0</v>
      </c>
      <c r="C25" s="31">
        <v>0</v>
      </c>
      <c r="D25" s="31">
        <v>0</v>
      </c>
      <c r="E25" s="32">
        <v>1</v>
      </c>
      <c r="S25" s="37" t="s">
        <v>6</v>
      </c>
      <c r="T25" s="4">
        <f t="shared" si="0"/>
        <v>0</v>
      </c>
      <c r="U25" s="38">
        <f t="shared" si="1"/>
        <v>0</v>
      </c>
    </row>
    <row r="26" spans="1:21" x14ac:dyDescent="0.2">
      <c r="A26" s="23" t="s">
        <v>30</v>
      </c>
      <c r="B26">
        <f>0.35*B32</f>
        <v>70</v>
      </c>
      <c r="C26">
        <f>0.3*C32</f>
        <v>90</v>
      </c>
      <c r="D26">
        <f>D32</f>
        <v>200</v>
      </c>
      <c r="E26" s="14">
        <v>1</v>
      </c>
      <c r="S26" s="37"/>
      <c r="T26" s="4"/>
      <c r="U26" s="38"/>
    </row>
    <row r="27" spans="1:21" x14ac:dyDescent="0.2">
      <c r="A27" s="23" t="s">
        <v>31</v>
      </c>
      <c r="B27">
        <f>0.95*B32</f>
        <v>190</v>
      </c>
      <c r="C27">
        <f>C26</f>
        <v>90</v>
      </c>
      <c r="D27">
        <f>D26</f>
        <v>200</v>
      </c>
      <c r="E27" s="14">
        <v>1</v>
      </c>
      <c r="S27" s="37" t="s">
        <v>13</v>
      </c>
      <c r="T27" s="4">
        <f t="shared" si="0"/>
        <v>210</v>
      </c>
      <c r="U27" s="38">
        <f t="shared" si="1"/>
        <v>40</v>
      </c>
    </row>
    <row r="28" spans="1:21" x14ac:dyDescent="0.2">
      <c r="A28" s="23" t="s">
        <v>32</v>
      </c>
      <c r="B28">
        <f>0.6*B32</f>
        <v>120</v>
      </c>
      <c r="C28">
        <f>0.5*C32</f>
        <v>150</v>
      </c>
      <c r="D28">
        <f>D32</f>
        <v>200</v>
      </c>
      <c r="E28" s="14">
        <v>1</v>
      </c>
      <c r="S28" s="37" t="s">
        <v>14</v>
      </c>
      <c r="T28" s="4">
        <f t="shared" si="0"/>
        <v>300</v>
      </c>
      <c r="U28" s="38">
        <f t="shared" si="1"/>
        <v>40</v>
      </c>
    </row>
    <row r="29" spans="1:21" x14ac:dyDescent="0.2">
      <c r="A29" s="23" t="s">
        <v>34</v>
      </c>
      <c r="B29">
        <f>0.2*B32</f>
        <v>40</v>
      </c>
      <c r="C29">
        <f>0.35*C32</f>
        <v>105</v>
      </c>
      <c r="D29">
        <f>4.5*D32</f>
        <v>900</v>
      </c>
      <c r="E29" s="14">
        <v>1</v>
      </c>
      <c r="S29" s="37" t="s">
        <v>15</v>
      </c>
      <c r="T29" s="4">
        <f t="shared" si="0"/>
        <v>300</v>
      </c>
      <c r="U29" s="38">
        <f t="shared" si="1"/>
        <v>0</v>
      </c>
    </row>
    <row r="30" spans="1:21" x14ac:dyDescent="0.2">
      <c r="A30" s="23" t="s">
        <v>37</v>
      </c>
      <c r="B30">
        <f>B29</f>
        <v>40</v>
      </c>
      <c r="C30">
        <f>0.5*C32</f>
        <v>150</v>
      </c>
      <c r="D30">
        <f>2.5*D32</f>
        <v>500</v>
      </c>
      <c r="E30" s="14">
        <v>1</v>
      </c>
      <c r="S30" s="37" t="s">
        <v>4</v>
      </c>
      <c r="T30" s="4">
        <f t="shared" si="0"/>
        <v>210</v>
      </c>
      <c r="U30" s="38">
        <f t="shared" si="1"/>
        <v>0</v>
      </c>
    </row>
    <row r="31" spans="1:21" x14ac:dyDescent="0.2">
      <c r="A31" s="23" t="s">
        <v>38</v>
      </c>
      <c r="B31">
        <f>B29</f>
        <v>40</v>
      </c>
      <c r="C31">
        <f>0.65*C32</f>
        <v>195</v>
      </c>
      <c r="D31">
        <f>3*D32</f>
        <v>600</v>
      </c>
      <c r="E31" s="14">
        <v>1</v>
      </c>
      <c r="S31" s="37" t="s">
        <v>13</v>
      </c>
      <c r="T31" s="4">
        <f t="shared" si="0"/>
        <v>210</v>
      </c>
      <c r="U31" s="38">
        <f t="shared" si="1"/>
        <v>40</v>
      </c>
    </row>
    <row r="32" spans="1:21" x14ac:dyDescent="0.2">
      <c r="A32" s="23" t="s">
        <v>39</v>
      </c>
      <c r="B32" s="33">
        <v>200</v>
      </c>
      <c r="C32" s="33">
        <v>300</v>
      </c>
      <c r="D32" s="33">
        <v>200</v>
      </c>
      <c r="E32" s="14">
        <v>1</v>
      </c>
      <c r="S32" s="37"/>
      <c r="T32" s="4"/>
      <c r="U32" s="38"/>
    </row>
    <row r="33" spans="1:21" x14ac:dyDescent="0.2">
      <c r="A33" s="23" t="s">
        <v>6</v>
      </c>
      <c r="B33">
        <v>0</v>
      </c>
      <c r="C33">
        <v>0</v>
      </c>
      <c r="D33">
        <f>3*D32</f>
        <v>600</v>
      </c>
      <c r="E33" s="29">
        <v>1</v>
      </c>
      <c r="S33" s="37" t="s">
        <v>12</v>
      </c>
      <c r="T33" s="4">
        <f t="shared" si="0"/>
        <v>210</v>
      </c>
      <c r="U33" s="38">
        <f t="shared" si="1"/>
        <v>40</v>
      </c>
    </row>
    <row r="34" spans="1:21" x14ac:dyDescent="0.2">
      <c r="A34" s="23" t="s">
        <v>7</v>
      </c>
      <c r="B34">
        <f>0.2*B32</f>
        <v>40</v>
      </c>
      <c r="C34">
        <v>0</v>
      </c>
      <c r="D34">
        <f>3*D32</f>
        <v>600</v>
      </c>
      <c r="E34" s="29">
        <v>1</v>
      </c>
      <c r="S34" s="37" t="s">
        <v>29</v>
      </c>
      <c r="T34" s="4">
        <f t="shared" si="0"/>
        <v>210</v>
      </c>
      <c r="U34" s="38">
        <f t="shared" si="1"/>
        <v>0</v>
      </c>
    </row>
    <row r="35" spans="1:21" x14ac:dyDescent="0.2">
      <c r="A35" s="23" t="s">
        <v>8</v>
      </c>
      <c r="B35">
        <f>0.2*B32</f>
        <v>40</v>
      </c>
      <c r="C35">
        <f>0.3*C32</f>
        <v>90</v>
      </c>
      <c r="D35">
        <f>3*D32</f>
        <v>600</v>
      </c>
      <c r="E35" s="29">
        <v>1</v>
      </c>
      <c r="S35" s="37" t="s">
        <v>9</v>
      </c>
      <c r="T35" s="4">
        <f t="shared" si="0"/>
        <v>90</v>
      </c>
      <c r="U35" s="38">
        <f t="shared" si="1"/>
        <v>0</v>
      </c>
    </row>
    <row r="36" spans="1:21" x14ac:dyDescent="0.2">
      <c r="A36" s="23" t="s">
        <v>5</v>
      </c>
      <c r="B36">
        <f>0.2*B32</f>
        <v>40</v>
      </c>
      <c r="C36">
        <f>0.3*C32</f>
        <v>90</v>
      </c>
      <c r="D36">
        <f>5*D32</f>
        <v>1000</v>
      </c>
      <c r="E36" s="29">
        <v>1</v>
      </c>
      <c r="S36" s="37" t="s">
        <v>5</v>
      </c>
      <c r="T36" s="4">
        <f t="shared" si="0"/>
        <v>90</v>
      </c>
      <c r="U36" s="38">
        <f t="shared" si="1"/>
        <v>40</v>
      </c>
    </row>
    <row r="37" spans="1:21" x14ac:dyDescent="0.2">
      <c r="A37" s="23" t="s">
        <v>9</v>
      </c>
      <c r="B37">
        <v>0</v>
      </c>
      <c r="C37">
        <f>0.3*C32</f>
        <v>90</v>
      </c>
      <c r="D37">
        <f>5*D32</f>
        <v>1000</v>
      </c>
      <c r="E37" s="29">
        <v>1</v>
      </c>
      <c r="S37" s="37" t="s">
        <v>12</v>
      </c>
      <c r="T37" s="4">
        <f t="shared" si="0"/>
        <v>210</v>
      </c>
      <c r="U37" s="38">
        <f t="shared" si="1"/>
        <v>40</v>
      </c>
    </row>
    <row r="38" spans="1:21" x14ac:dyDescent="0.2">
      <c r="A38" s="23" t="s">
        <v>10</v>
      </c>
      <c r="B38">
        <v>0</v>
      </c>
      <c r="C38">
        <f>0.3*C32</f>
        <v>90</v>
      </c>
      <c r="D38">
        <f>3*D32</f>
        <v>600</v>
      </c>
      <c r="E38" s="42">
        <v>1</v>
      </c>
      <c r="S38" s="37"/>
      <c r="T38" s="4"/>
      <c r="U38" s="38"/>
    </row>
    <row r="39" spans="1:21" x14ac:dyDescent="0.2">
      <c r="A39" s="23" t="s">
        <v>4</v>
      </c>
      <c r="B39">
        <v>0</v>
      </c>
      <c r="C39">
        <f>0.7*C32</f>
        <v>210</v>
      </c>
      <c r="D39">
        <f>3*D32</f>
        <v>600</v>
      </c>
      <c r="E39" s="29">
        <v>1</v>
      </c>
      <c r="S39" s="37" t="s">
        <v>6</v>
      </c>
      <c r="T39" s="4">
        <f t="shared" si="0"/>
        <v>0</v>
      </c>
      <c r="U39" s="38">
        <f t="shared" si="1"/>
        <v>0</v>
      </c>
    </row>
    <row r="40" spans="1:21" x14ac:dyDescent="0.2">
      <c r="A40" s="23" t="s">
        <v>11</v>
      </c>
      <c r="B40">
        <v>0</v>
      </c>
      <c r="C40">
        <f>0.7*C32</f>
        <v>210</v>
      </c>
      <c r="D40">
        <f>5*D32</f>
        <v>1000</v>
      </c>
      <c r="E40" s="14">
        <v>1</v>
      </c>
      <c r="S40" s="37" t="s">
        <v>3</v>
      </c>
      <c r="T40" s="4">
        <f t="shared" si="0"/>
        <v>0</v>
      </c>
      <c r="U40" s="38">
        <f t="shared" si="1"/>
        <v>0</v>
      </c>
    </row>
    <row r="41" spans="1:21" x14ac:dyDescent="0.2">
      <c r="A41" s="23" t="s">
        <v>12</v>
      </c>
      <c r="B41">
        <f>0.2*B32</f>
        <v>40</v>
      </c>
      <c r="C41">
        <f>0.7*C32</f>
        <v>210</v>
      </c>
      <c r="D41">
        <f>5*D32</f>
        <v>1000</v>
      </c>
      <c r="E41" s="14">
        <v>1</v>
      </c>
      <c r="S41" s="37" t="s">
        <v>21</v>
      </c>
      <c r="T41" s="4">
        <f t="shared" si="0"/>
        <v>300</v>
      </c>
      <c r="U41" s="38">
        <f t="shared" si="1"/>
        <v>0</v>
      </c>
    </row>
    <row r="42" spans="1:21" x14ac:dyDescent="0.2">
      <c r="A42" s="23" t="s">
        <v>13</v>
      </c>
      <c r="B42">
        <f>0.2*B32</f>
        <v>40</v>
      </c>
      <c r="C42">
        <f>0.7*C32</f>
        <v>210</v>
      </c>
      <c r="D42">
        <f>3*D32</f>
        <v>600</v>
      </c>
      <c r="E42" s="14">
        <v>1</v>
      </c>
      <c r="S42" s="37" t="s">
        <v>15</v>
      </c>
      <c r="T42" s="4">
        <f t="shared" si="0"/>
        <v>300</v>
      </c>
      <c r="U42" s="38">
        <f t="shared" si="1"/>
        <v>0</v>
      </c>
    </row>
    <row r="43" spans="1:21" x14ac:dyDescent="0.2">
      <c r="A43" s="23" t="s">
        <v>14</v>
      </c>
      <c r="B43">
        <f>0.2*B32</f>
        <v>40</v>
      </c>
      <c r="C43">
        <f>C32</f>
        <v>300</v>
      </c>
      <c r="D43">
        <f>3*D32</f>
        <v>600</v>
      </c>
      <c r="E43" s="14">
        <v>1</v>
      </c>
      <c r="S43" s="37" t="s">
        <v>4</v>
      </c>
      <c r="T43" s="4">
        <f t="shared" si="0"/>
        <v>210</v>
      </c>
      <c r="U43" s="38">
        <f t="shared" si="1"/>
        <v>0</v>
      </c>
    </row>
    <row r="44" spans="1:21" x14ac:dyDescent="0.2">
      <c r="A44" s="12" t="s">
        <v>15</v>
      </c>
      <c r="B44" s="6">
        <v>0</v>
      </c>
      <c r="C44">
        <f>C32</f>
        <v>300</v>
      </c>
      <c r="D44">
        <f>3*D32</f>
        <v>600</v>
      </c>
      <c r="E44" s="14">
        <v>1</v>
      </c>
      <c r="S44" s="37" t="s">
        <v>29</v>
      </c>
      <c r="T44" s="4">
        <f t="shared" si="0"/>
        <v>210</v>
      </c>
      <c r="U44" s="38">
        <f t="shared" si="1"/>
        <v>0</v>
      </c>
    </row>
    <row r="45" spans="1:21" x14ac:dyDescent="0.2">
      <c r="A45" s="13" t="s">
        <v>21</v>
      </c>
      <c r="B45" s="6">
        <v>0</v>
      </c>
      <c r="C45">
        <f>C32</f>
        <v>300</v>
      </c>
      <c r="D45">
        <v>0</v>
      </c>
      <c r="E45" s="14">
        <v>1</v>
      </c>
      <c r="S45" s="37" t="s">
        <v>9</v>
      </c>
      <c r="T45" s="4">
        <f t="shared" si="0"/>
        <v>90</v>
      </c>
      <c r="U45" s="38">
        <f t="shared" si="1"/>
        <v>0</v>
      </c>
    </row>
    <row r="46" spans="1:21" x14ac:dyDescent="0.2">
      <c r="A46" s="13" t="s">
        <v>22</v>
      </c>
      <c r="B46" s="6">
        <f>0.7*B32</f>
        <v>140</v>
      </c>
      <c r="C46">
        <f>C32</f>
        <v>300</v>
      </c>
      <c r="D46">
        <v>0</v>
      </c>
      <c r="E46" s="14">
        <v>1</v>
      </c>
      <c r="S46" s="37" t="s">
        <v>10</v>
      </c>
      <c r="T46" s="4">
        <f t="shared" si="0"/>
        <v>90</v>
      </c>
      <c r="U46" s="38">
        <f t="shared" si="1"/>
        <v>0</v>
      </c>
    </row>
    <row r="47" spans="1:21" x14ac:dyDescent="0.2">
      <c r="A47" s="13" t="s">
        <v>23</v>
      </c>
      <c r="B47" s="6">
        <f>0.7*B32</f>
        <v>140</v>
      </c>
      <c r="C47">
        <f>C32</f>
        <v>300</v>
      </c>
      <c r="D47">
        <f>D32</f>
        <v>200</v>
      </c>
      <c r="E47" s="14">
        <v>1</v>
      </c>
      <c r="S47" s="37" t="s">
        <v>6</v>
      </c>
      <c r="T47" s="4">
        <f t="shared" si="0"/>
        <v>0</v>
      </c>
      <c r="U47" s="38">
        <f t="shared" si="1"/>
        <v>0</v>
      </c>
    </row>
    <row r="48" spans="1:21" x14ac:dyDescent="0.2">
      <c r="A48" s="13" t="s">
        <v>17</v>
      </c>
      <c r="B48" s="6">
        <f>0.2*B32</f>
        <v>40</v>
      </c>
      <c r="C48">
        <f>C32</f>
        <v>300</v>
      </c>
      <c r="D48">
        <f>D32</f>
        <v>200</v>
      </c>
      <c r="E48" s="14">
        <v>1</v>
      </c>
      <c r="S48" s="37"/>
      <c r="T48" s="4"/>
      <c r="U48" s="38"/>
    </row>
    <row r="49" spans="1:21" x14ac:dyDescent="0.2">
      <c r="A49" s="13" t="s">
        <v>16</v>
      </c>
      <c r="B49" s="6">
        <f>0.2*B32</f>
        <v>40</v>
      </c>
      <c r="C49">
        <v>0</v>
      </c>
      <c r="D49">
        <f>D32</f>
        <v>200</v>
      </c>
      <c r="E49" s="14">
        <v>1</v>
      </c>
      <c r="S49" s="37" t="s">
        <v>7</v>
      </c>
      <c r="T49" s="4">
        <f t="shared" si="0"/>
        <v>0</v>
      </c>
      <c r="U49" s="38">
        <f t="shared" si="1"/>
        <v>40</v>
      </c>
    </row>
    <row r="50" spans="1:21" x14ac:dyDescent="0.2">
      <c r="A50" s="13" t="s">
        <v>24</v>
      </c>
      <c r="B50" s="6">
        <f>B32</f>
        <v>200</v>
      </c>
      <c r="C50">
        <v>0</v>
      </c>
      <c r="D50">
        <f>D32</f>
        <v>200</v>
      </c>
      <c r="E50" s="14">
        <v>1</v>
      </c>
      <c r="S50" s="37" t="s">
        <v>16</v>
      </c>
      <c r="T50" s="4">
        <f t="shared" si="0"/>
        <v>0</v>
      </c>
      <c r="U50" s="38">
        <f t="shared" si="1"/>
        <v>40</v>
      </c>
    </row>
    <row r="51" spans="1:21" x14ac:dyDescent="0.2">
      <c r="A51" s="13" t="s">
        <v>25</v>
      </c>
      <c r="B51" s="6">
        <f>B32</f>
        <v>200</v>
      </c>
      <c r="C51">
        <v>0</v>
      </c>
      <c r="D51">
        <v>0</v>
      </c>
      <c r="E51" s="14">
        <v>1</v>
      </c>
      <c r="S51" s="37" t="s">
        <v>17</v>
      </c>
      <c r="T51" s="4">
        <f t="shared" si="0"/>
        <v>300</v>
      </c>
      <c r="U51" s="38">
        <f t="shared" si="1"/>
        <v>40</v>
      </c>
    </row>
    <row r="52" spans="1:21" x14ac:dyDescent="0.2">
      <c r="A52" s="13" t="s">
        <v>26</v>
      </c>
      <c r="B52" s="6">
        <f>B32</f>
        <v>200</v>
      </c>
      <c r="C52">
        <f>0.4*C32</f>
        <v>120</v>
      </c>
      <c r="D52">
        <v>0</v>
      </c>
      <c r="E52" s="14">
        <v>1</v>
      </c>
      <c r="S52" s="37" t="s">
        <v>14</v>
      </c>
      <c r="T52" s="4">
        <f t="shared" si="0"/>
        <v>300</v>
      </c>
      <c r="U52" s="38">
        <f t="shared" si="1"/>
        <v>40</v>
      </c>
    </row>
    <row r="53" spans="1:21" x14ac:dyDescent="0.2">
      <c r="A53" s="13" t="s">
        <v>27</v>
      </c>
      <c r="B53" s="6">
        <f>B32</f>
        <v>200</v>
      </c>
      <c r="C53">
        <f>0.4*C32</f>
        <v>120</v>
      </c>
      <c r="D53">
        <f>D32</f>
        <v>200</v>
      </c>
      <c r="E53" s="14">
        <v>1</v>
      </c>
      <c r="S53" s="37" t="s">
        <v>13</v>
      </c>
      <c r="T53" s="4">
        <f t="shared" si="0"/>
        <v>210</v>
      </c>
      <c r="U53" s="38">
        <f t="shared" si="1"/>
        <v>40</v>
      </c>
    </row>
    <row r="54" spans="1:21" x14ac:dyDescent="0.2">
      <c r="A54" s="13" t="s">
        <v>28</v>
      </c>
      <c r="B54" s="6">
        <f>0.7*B32</f>
        <v>140</v>
      </c>
      <c r="C54">
        <f>0.4*C32</f>
        <v>120</v>
      </c>
      <c r="D54">
        <f>D32</f>
        <v>200</v>
      </c>
      <c r="E54" s="14">
        <v>1</v>
      </c>
      <c r="S54" s="37" t="s">
        <v>12</v>
      </c>
      <c r="T54" s="4">
        <f t="shared" si="0"/>
        <v>210</v>
      </c>
      <c r="U54" s="38">
        <f t="shared" si="1"/>
        <v>40</v>
      </c>
    </row>
    <row r="55" spans="1:21" x14ac:dyDescent="0.2">
      <c r="A55" s="14" t="s">
        <v>0</v>
      </c>
      <c r="B55">
        <f>0.7*B32</f>
        <v>140</v>
      </c>
      <c r="C55">
        <f>0.4*C32</f>
        <v>120</v>
      </c>
      <c r="D55">
        <v>0</v>
      </c>
      <c r="E55" s="14">
        <v>1</v>
      </c>
      <c r="S55" s="37" t="s">
        <v>5</v>
      </c>
      <c r="T55" s="4">
        <f t="shared" si="0"/>
        <v>90</v>
      </c>
      <c r="U55" s="38">
        <f t="shared" si="1"/>
        <v>40</v>
      </c>
    </row>
    <row r="56" spans="1:21" x14ac:dyDescent="0.2">
      <c r="A56" s="14" t="s">
        <v>1</v>
      </c>
      <c r="B56">
        <f>0.25*B32</f>
        <v>50</v>
      </c>
      <c r="C56">
        <f>0.15*C32</f>
        <v>45</v>
      </c>
      <c r="D56">
        <f>D32</f>
        <v>200</v>
      </c>
      <c r="E56" s="14">
        <v>1</v>
      </c>
      <c r="S56" s="37" t="s">
        <v>8</v>
      </c>
      <c r="T56" s="4">
        <f t="shared" si="0"/>
        <v>90</v>
      </c>
      <c r="U56" s="38">
        <f t="shared" si="1"/>
        <v>40</v>
      </c>
    </row>
    <row r="57" spans="1:21" ht="13.5" thickBot="1" x14ac:dyDescent="0.25">
      <c r="A57" s="16" t="s">
        <v>2</v>
      </c>
      <c r="B57" s="28">
        <f>0.6*B32</f>
        <v>120</v>
      </c>
      <c r="C57" s="8">
        <f>0.15*C32</f>
        <v>45</v>
      </c>
      <c r="D57" s="8">
        <f>D32</f>
        <v>200</v>
      </c>
      <c r="E57" s="16">
        <v>1</v>
      </c>
      <c r="S57" s="37" t="s">
        <v>7</v>
      </c>
      <c r="T57" s="4">
        <f t="shared" si="0"/>
        <v>0</v>
      </c>
      <c r="U57" s="38">
        <f t="shared" si="1"/>
        <v>40</v>
      </c>
    </row>
    <row r="58" spans="1:21" x14ac:dyDescent="0.2">
      <c r="A58" s="5"/>
      <c r="S58" s="37"/>
      <c r="T58" s="4"/>
      <c r="U58" s="38"/>
    </row>
    <row r="59" spans="1:21" x14ac:dyDescent="0.2">
      <c r="A59" s="43"/>
      <c r="S59" s="37" t="s">
        <v>28</v>
      </c>
      <c r="T59" s="4">
        <f t="shared" si="0"/>
        <v>120</v>
      </c>
      <c r="U59" s="38">
        <f t="shared" si="1"/>
        <v>140</v>
      </c>
    </row>
    <row r="60" spans="1:21" x14ac:dyDescent="0.2">
      <c r="A60" s="44"/>
      <c r="S60" s="37" t="s">
        <v>0</v>
      </c>
      <c r="T60" s="4">
        <f t="shared" si="0"/>
        <v>120</v>
      </c>
      <c r="U60" s="38">
        <f t="shared" si="1"/>
        <v>140</v>
      </c>
    </row>
    <row r="61" spans="1:21" x14ac:dyDescent="0.2">
      <c r="A61" s="44"/>
      <c r="S61" s="37" t="s">
        <v>22</v>
      </c>
      <c r="T61" s="4">
        <f t="shared" si="0"/>
        <v>300</v>
      </c>
      <c r="U61" s="38">
        <f t="shared" si="1"/>
        <v>140</v>
      </c>
    </row>
    <row r="62" spans="1:21" x14ac:dyDescent="0.2">
      <c r="S62" s="37" t="s">
        <v>23</v>
      </c>
      <c r="T62" s="4">
        <f t="shared" si="0"/>
        <v>300</v>
      </c>
      <c r="U62" s="38">
        <f t="shared" si="1"/>
        <v>140</v>
      </c>
    </row>
    <row r="63" spans="1:21" x14ac:dyDescent="0.2">
      <c r="A63" s="43"/>
      <c r="S63" s="37" t="s">
        <v>28</v>
      </c>
      <c r="T63" s="4">
        <f t="shared" si="0"/>
        <v>120</v>
      </c>
      <c r="U63" s="38">
        <f t="shared" si="1"/>
        <v>140</v>
      </c>
    </row>
    <row r="64" spans="1:21" x14ac:dyDescent="0.2">
      <c r="S64" s="37"/>
      <c r="T64" s="4"/>
      <c r="U64" s="38"/>
    </row>
    <row r="65" spans="7:21" x14ac:dyDescent="0.2">
      <c r="G65" s="13"/>
      <c r="S65" s="37" t="s">
        <v>24</v>
      </c>
      <c r="T65" s="4">
        <f t="shared" si="0"/>
        <v>0</v>
      </c>
      <c r="U65" s="38">
        <f t="shared" si="1"/>
        <v>200</v>
      </c>
    </row>
    <row r="66" spans="7:21" x14ac:dyDescent="0.2">
      <c r="S66" s="37" t="s">
        <v>25</v>
      </c>
      <c r="T66" s="4">
        <f t="shared" si="0"/>
        <v>0</v>
      </c>
      <c r="U66" s="38">
        <f t="shared" ref="U66:U80" si="2">VLOOKUP(S66, $A$25:$E$57,  2)</f>
        <v>200</v>
      </c>
    </row>
    <row r="67" spans="7:21" x14ac:dyDescent="0.2">
      <c r="S67" s="37" t="s">
        <v>26</v>
      </c>
      <c r="T67" s="4">
        <f t="shared" si="0"/>
        <v>120</v>
      </c>
      <c r="U67" s="38">
        <f t="shared" si="2"/>
        <v>200</v>
      </c>
    </row>
    <row r="68" spans="7:21" x14ac:dyDescent="0.2">
      <c r="S68" s="37" t="s">
        <v>27</v>
      </c>
      <c r="T68" s="4">
        <f t="shared" si="0"/>
        <v>120</v>
      </c>
      <c r="U68" s="38">
        <f t="shared" si="2"/>
        <v>200</v>
      </c>
    </row>
    <row r="69" spans="7:21" x14ac:dyDescent="0.2">
      <c r="S69" s="37" t="s">
        <v>24</v>
      </c>
      <c r="T69" s="4">
        <f t="shared" ref="T69:T80" si="3">VLOOKUP(S69, $A$25:$E$57, 3)</f>
        <v>0</v>
      </c>
      <c r="U69" s="38">
        <f t="shared" si="2"/>
        <v>200</v>
      </c>
    </row>
    <row r="70" spans="7:21" x14ac:dyDescent="0.2">
      <c r="S70" s="37"/>
      <c r="T70" s="4"/>
      <c r="U70" s="38"/>
    </row>
    <row r="71" spans="7:21" x14ac:dyDescent="0.2">
      <c r="S71" s="37" t="s">
        <v>1</v>
      </c>
      <c r="T71" s="4">
        <f t="shared" si="3"/>
        <v>45</v>
      </c>
      <c r="U71" s="38">
        <f t="shared" si="2"/>
        <v>50</v>
      </c>
    </row>
    <row r="72" spans="7:21" x14ac:dyDescent="0.2">
      <c r="S72" s="37" t="s">
        <v>2</v>
      </c>
      <c r="T72" s="4">
        <f t="shared" si="3"/>
        <v>45</v>
      </c>
      <c r="U72" s="38">
        <f t="shared" si="2"/>
        <v>120</v>
      </c>
    </row>
    <row r="73" spans="7:21" x14ac:dyDescent="0.2">
      <c r="S73" s="37" t="s">
        <v>32</v>
      </c>
      <c r="T73" s="4">
        <f t="shared" si="3"/>
        <v>150</v>
      </c>
      <c r="U73" s="38">
        <f t="shared" si="2"/>
        <v>120</v>
      </c>
    </row>
    <row r="74" spans="7:21" x14ac:dyDescent="0.2">
      <c r="S74" s="37"/>
      <c r="T74" s="4"/>
      <c r="U74" s="38"/>
    </row>
    <row r="75" spans="7:21" x14ac:dyDescent="0.2">
      <c r="S75" s="45" t="s">
        <v>30</v>
      </c>
      <c r="T75" s="4">
        <f t="shared" si="3"/>
        <v>90</v>
      </c>
      <c r="U75" s="38">
        <f t="shared" si="2"/>
        <v>70</v>
      </c>
    </row>
    <row r="76" spans="7:21" x14ac:dyDescent="0.2">
      <c r="S76" s="45" t="s">
        <v>31</v>
      </c>
      <c r="T76" s="4">
        <f t="shared" si="3"/>
        <v>90</v>
      </c>
      <c r="U76" s="38">
        <f t="shared" si="2"/>
        <v>190</v>
      </c>
    </row>
    <row r="77" spans="7:21" x14ac:dyDescent="0.2">
      <c r="S77" s="45"/>
      <c r="T77" s="4"/>
      <c r="U77" s="38"/>
    </row>
    <row r="78" spans="7:21" x14ac:dyDescent="0.2">
      <c r="S78" s="45" t="s">
        <v>34</v>
      </c>
      <c r="T78" s="4">
        <f t="shared" si="3"/>
        <v>105</v>
      </c>
      <c r="U78" s="38">
        <f t="shared" si="2"/>
        <v>40</v>
      </c>
    </row>
    <row r="79" spans="7:21" x14ac:dyDescent="0.2">
      <c r="S79" s="45" t="s">
        <v>37</v>
      </c>
      <c r="T79" s="4">
        <f t="shared" si="3"/>
        <v>150</v>
      </c>
      <c r="U79" s="38">
        <f t="shared" si="2"/>
        <v>40</v>
      </c>
    </row>
    <row r="80" spans="7:21" ht="13.5" thickBot="1" x14ac:dyDescent="0.25">
      <c r="S80" s="46" t="s">
        <v>38</v>
      </c>
      <c r="T80" s="47">
        <f t="shared" si="3"/>
        <v>195</v>
      </c>
      <c r="U80" s="48">
        <f t="shared" si="2"/>
        <v>40</v>
      </c>
    </row>
    <row r="81" ht="13.5" thickTop="1" x14ac:dyDescent="0.2"/>
  </sheetData>
  <phoneticPr fontId="0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49" r:id="rId4" name="cmdRezero">
          <controlPr defaultSize="0" autoLine="0" autoPict="0" r:id="rId5">
            <anchor moveWithCells="1">
              <from>
                <xdr:col>0</xdr:col>
                <xdr:colOff>342900</xdr:colOff>
                <xdr:row>3</xdr:row>
                <xdr:rowOff>95250</xdr:rowOff>
              </from>
              <to>
                <xdr:col>1</xdr:col>
                <xdr:colOff>552450</xdr:colOff>
                <xdr:row>5</xdr:row>
                <xdr:rowOff>38100</xdr:rowOff>
              </to>
            </anchor>
          </controlPr>
        </control>
      </mc:Choice>
      <mc:Fallback>
        <control shapeId="1049" r:id="rId4" name="cmdRezero"/>
      </mc:Fallback>
    </mc:AlternateContent>
    <mc:AlternateContent xmlns:mc="http://schemas.openxmlformats.org/markup-compatibility/2006">
      <mc:Choice Requires="x14">
        <control shapeId="1050" r:id="rId6" name="cmdIncrement">
          <controlPr defaultSize="0" autoLine="0" autoPict="0" r:id="rId7">
            <anchor moveWithCells="1">
              <from>
                <xdr:col>0</xdr:col>
                <xdr:colOff>342900</xdr:colOff>
                <xdr:row>6</xdr:row>
                <xdr:rowOff>57150</xdr:rowOff>
              </from>
              <to>
                <xdr:col>1</xdr:col>
                <xdr:colOff>561975</xdr:colOff>
                <xdr:row>8</xdr:row>
                <xdr:rowOff>57150</xdr:rowOff>
              </to>
            </anchor>
          </controlPr>
        </control>
      </mc:Choice>
      <mc:Fallback>
        <control shapeId="1050" r:id="rId6" name="cmdIncrement"/>
      </mc:Fallback>
    </mc:AlternateContent>
    <mc:AlternateContent xmlns:mc="http://schemas.openxmlformats.org/markup-compatibility/2006">
      <mc:Choice Requires="x14">
        <control shapeId="1056" r:id="rId8" name="cmdDecrement">
          <controlPr defaultSize="0" autoLine="0" autoPict="0" r:id="rId9">
            <anchor moveWithCells="1">
              <from>
                <xdr:col>0</xdr:col>
                <xdr:colOff>352425</xdr:colOff>
                <xdr:row>9</xdr:row>
                <xdr:rowOff>19050</xdr:rowOff>
              </from>
              <to>
                <xdr:col>1</xdr:col>
                <xdr:colOff>571500</xdr:colOff>
                <xdr:row>11</xdr:row>
                <xdr:rowOff>19050</xdr:rowOff>
              </to>
            </anchor>
          </controlPr>
        </control>
      </mc:Choice>
      <mc:Fallback>
        <control shapeId="1056" r:id="rId8" name="cmdDecremen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200810BFG</vt:lpstr>
      <vt:lpstr>Main</vt:lpstr>
    </vt:vector>
  </TitlesOfParts>
  <Company>BCIT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Wndows 2K Pro</dc:creator>
  <cp:lastModifiedBy>BCIT</cp:lastModifiedBy>
  <cp:lastPrinted>2001-04-28T16:25:21Z</cp:lastPrinted>
  <dcterms:created xsi:type="dcterms:W3CDTF">2001-04-27T20:25:39Z</dcterms:created>
  <dcterms:modified xsi:type="dcterms:W3CDTF">2013-11-18T20:31:40Z</dcterms:modified>
</cp:coreProperties>
</file>